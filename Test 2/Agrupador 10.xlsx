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femcom-my.sharepoint.com/personal/maximiliano_sanpedro_oxxo_com/Documents/Documentos/GitHub/Practica-Oxxo/Test/"/>
    </mc:Choice>
  </mc:AlternateContent>
  <xr:revisionPtr revIDLastSave="1452" documentId="8_{8BA5D7EE-FA4F-4602-B3D7-534C2EE982B7}" xr6:coauthVersionLast="47" xr6:coauthVersionMax="47" xr10:uidLastSave="{AE205BD3-2251-4FEC-B532-198F616FD53F}"/>
  <bookViews>
    <workbookView xWindow="-120" yWindow="-120" windowWidth="29040" windowHeight="15840" xr2:uid="{69C9A25C-BC19-4EBF-A37D-37823838E30F}"/>
  </bookViews>
  <sheets>
    <sheet name="AGRUPADOR" sheetId="1" r:id="rId1"/>
    <sheet name="INCLS" sheetId="2" r:id="rId2"/>
    <sheet name="Hoja1" sheetId="3" r:id="rId3"/>
    <sheet name="Hoja2" sheetId="4" r:id="rId4"/>
    <sheet name="HRS CONTRATO" sheetId="5" r:id="rId5"/>
  </sheets>
  <definedNames>
    <definedName name="_xlnm._FilterDatabase" localSheetId="0" hidden="1">AGRUPADOR!$H$5:$L$780</definedName>
    <definedName name="_xlnm._FilterDatabase" localSheetId="2" hidden="1">Hoja1!$A$1:$E$49</definedName>
    <definedName name="_xlnm._FilterDatabase" localSheetId="3" hidden="1">Hoja2!$A$1:$C$64</definedName>
    <definedName name="_xlnm._FilterDatabase" localSheetId="4" hidden="1">'HRS CONTRATO'!$A$1:$C$69</definedName>
    <definedName name="_xlnm._FilterDatabase" localSheetId="1" hidden="1">INCLS!$C$4:$I$36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" i="1"/>
  <c r="I6" i="3"/>
  <c r="I3" i="3"/>
  <c r="I2" i="3"/>
  <c r="I5" i="3" s="1"/>
  <c r="I4" i="3" l="1"/>
  <c r="G43" i="2"/>
  <c r="G42" i="2"/>
  <c r="G41" i="2"/>
  <c r="G40" i="2"/>
  <c r="G44" i="2" s="1"/>
  <c r="E41" i="2"/>
  <c r="E40" i="2"/>
  <c r="AM3" i="1"/>
  <c r="P3" i="1"/>
</calcChain>
</file>

<file path=xl/sharedStrings.xml><?xml version="1.0" encoding="utf-8"?>
<sst xmlns="http://schemas.openxmlformats.org/spreadsheetml/2006/main" count="5283" uniqueCount="1939">
  <si>
    <t>44 hrs</t>
  </si>
  <si>
    <t>FULL (Lider, CAJ, JS)</t>
  </si>
  <si>
    <t>HRS TEORI / HRS FULL</t>
  </si>
  <si>
    <t>NIVELES OXXO_NUEVO</t>
  </si>
  <si>
    <t>NIVELES MERCADO</t>
  </si>
  <si>
    <t>Nivel SAP</t>
  </si>
  <si>
    <t>AGRUP_ANTIGUO</t>
  </si>
  <si>
    <t>AGRUP_NUEVO</t>
  </si>
  <si>
    <t>FAMILIA CARGO_CHILE</t>
  </si>
  <si>
    <t>BONO ANUAL</t>
  </si>
  <si>
    <t>INICIAL</t>
  </si>
  <si>
    <t>PC</t>
  </si>
  <si>
    <t>MAXIMO</t>
  </si>
  <si>
    <t>MIN</t>
  </si>
  <si>
    <t>MAX</t>
  </si>
  <si>
    <t>NIVEL CONTRIBUCIÓN</t>
  </si>
  <si>
    <t>externalCode</t>
  </si>
  <si>
    <t>externalName.en_US</t>
  </si>
  <si>
    <t>externalName.defaultValue</t>
  </si>
  <si>
    <t>country.code</t>
  </si>
  <si>
    <t>Agrupador</t>
  </si>
  <si>
    <t>CR</t>
  </si>
  <si>
    <t>CENTRO DE COSTO</t>
  </si>
  <si>
    <t>GERENCIA</t>
  </si>
  <si>
    <t>GERENCIA_2026</t>
  </si>
  <si>
    <t>AREA</t>
  </si>
  <si>
    <t>CARGO</t>
  </si>
  <si>
    <t>AGRUPADOR</t>
  </si>
  <si>
    <t>AGRUPA CARGO_2</t>
  </si>
  <si>
    <t>AGRUPADOR_1</t>
  </si>
  <si>
    <t>FTE TEORICO2</t>
  </si>
  <si>
    <t>HRS CONTRATO</t>
  </si>
  <si>
    <t>NIVEL 04 CHL</t>
  </si>
  <si>
    <t>Auxiliar</t>
  </si>
  <si>
    <t>CONTRIBUIDOR INDIVIDUAL</t>
  </si>
  <si>
    <t>0100</t>
  </si>
  <si>
    <t>Vacaciones (Obsoleta)</t>
  </si>
  <si>
    <t>Vacaciones</t>
  </si>
  <si>
    <t>CHL</t>
  </si>
  <si>
    <t>31AFO</t>
  </si>
  <si>
    <t>FINANZAS DISTRITO</t>
  </si>
  <si>
    <t>FINANZAS</t>
  </si>
  <si>
    <t>OS</t>
  </si>
  <si>
    <t>AYUDANTE TIENDA CHILE</t>
  </si>
  <si>
    <t>CAJERO</t>
  </si>
  <si>
    <t>NIVEL 05 CHL</t>
  </si>
  <si>
    <t>0101</t>
  </si>
  <si>
    <t>Día de Descanso Ley</t>
  </si>
  <si>
    <t>Día descanso</t>
  </si>
  <si>
    <t>31AYF</t>
  </si>
  <si>
    <t>FINANZAS OS</t>
  </si>
  <si>
    <t>NIVEL 06 CHL</t>
  </si>
  <si>
    <t>0102</t>
  </si>
  <si>
    <t>Licen Enferm Profesional</t>
  </si>
  <si>
    <t>Licencia</t>
  </si>
  <si>
    <t>31FRC</t>
  </si>
  <si>
    <t>FRANQUICIAS</t>
  </si>
  <si>
    <t>CAJERO PART TIME</t>
  </si>
  <si>
    <t>CAJERO PT 20</t>
  </si>
  <si>
    <t>NIVEL 07 CHL</t>
  </si>
  <si>
    <t>0103</t>
  </si>
  <si>
    <t>Licen Enferm Común</t>
  </si>
  <si>
    <t>32GOP</t>
  </si>
  <si>
    <t>OPERACIONES</t>
  </si>
  <si>
    <t>OPERACIONES / OS</t>
  </si>
  <si>
    <t>OPERACIONES Y DESARROLLO INMOBILIARIO</t>
  </si>
  <si>
    <t>OS / TIENDA</t>
  </si>
  <si>
    <t>CAJERO PT</t>
  </si>
  <si>
    <t>NIVEL 08 CHL</t>
  </si>
  <si>
    <t>Analista</t>
  </si>
  <si>
    <t>0104</t>
  </si>
  <si>
    <t>31MOM</t>
  </si>
  <si>
    <t>PROYECTO RMS</t>
  </si>
  <si>
    <t>PROYECTOS</t>
  </si>
  <si>
    <t>CAJERO POLIFUNCIONAL</t>
  </si>
  <si>
    <t>NIVEL 09 CHL</t>
  </si>
  <si>
    <t>0105</t>
  </si>
  <si>
    <t>Descansos</t>
  </si>
  <si>
    <t>Personal Days</t>
  </si>
  <si>
    <t>Permiso</t>
  </si>
  <si>
    <t>31MXC</t>
  </si>
  <si>
    <t>MEXICO</t>
  </si>
  <si>
    <t>CAJERO POLIFUNCIONAL NOCTURNO</t>
  </si>
  <si>
    <t>CAJERO NOCTURNO</t>
  </si>
  <si>
    <t>NIVEL 10 CHL</t>
  </si>
  <si>
    <t>Encargado</t>
  </si>
  <si>
    <t>0109</t>
  </si>
  <si>
    <t>Accidente de Trabajo</t>
  </si>
  <si>
    <t>36RHO</t>
  </si>
  <si>
    <t>RH DISTRITO</t>
  </si>
  <si>
    <t>RH</t>
  </si>
  <si>
    <t>CAJERO POLIFUNCIONAL OXXO</t>
  </si>
  <si>
    <t>NIVEL 11 CHL</t>
  </si>
  <si>
    <t>0110</t>
  </si>
  <si>
    <t>Licencia Maternal</t>
  </si>
  <si>
    <t>31NEO</t>
  </si>
  <si>
    <t>NEO</t>
  </si>
  <si>
    <t>CAJERO POLIFUNCIONAL TEMPORAL</t>
  </si>
  <si>
    <t>NIVEL 12 CHL</t>
  </si>
  <si>
    <t>Coordinador</t>
  </si>
  <si>
    <t>LÍDER DE GENTE</t>
  </si>
  <si>
    <t>0111</t>
  </si>
  <si>
    <t>Licencia PostNatal Parental</t>
  </si>
  <si>
    <t>Licencia Parental</t>
  </si>
  <si>
    <t>31PDV</t>
  </si>
  <si>
    <t>PROYECTO MIDAS</t>
  </si>
  <si>
    <t>CAJERO TEMPORAL</t>
  </si>
  <si>
    <t>NIVEL 13 CHL</t>
  </si>
  <si>
    <t>0151</t>
  </si>
  <si>
    <t>Licenc enferm hijo &lt;1 año</t>
  </si>
  <si>
    <t>32ODT</t>
  </si>
  <si>
    <t>OPERACIONES OKM</t>
  </si>
  <si>
    <t>OPERARIO FAST FOOD</t>
  </si>
  <si>
    <t>NIVEL 14 CHL</t>
  </si>
  <si>
    <t>Jefe</t>
  </si>
  <si>
    <t>0152</t>
  </si>
  <si>
    <t>Permiso c/goce de sueldo</t>
  </si>
  <si>
    <t>38CSU</t>
  </si>
  <si>
    <t>CADENA SUMINISTRO OP</t>
  </si>
  <si>
    <t>CADENA SUMINISTRO</t>
  </si>
  <si>
    <t>CAJERO ZONAL</t>
  </si>
  <si>
    <t>NIVEL 15</t>
  </si>
  <si>
    <t>Responsable</t>
  </si>
  <si>
    <t>0153</t>
  </si>
  <si>
    <t>Permiso s/goce de sueldo</t>
  </si>
  <si>
    <t>Permiso s/g</t>
  </si>
  <si>
    <t>32OPE</t>
  </si>
  <si>
    <t>OPERACIONES OS</t>
  </si>
  <si>
    <t>CAJERO ZONAL PART TIME</t>
  </si>
  <si>
    <t>CAJERO ZONAL PT 30</t>
  </si>
  <si>
    <t>CAJERO PT 30</t>
  </si>
  <si>
    <t>NIVEL 15 CHL</t>
  </si>
  <si>
    <t>0154</t>
  </si>
  <si>
    <t>Permiso Ley Sana</t>
  </si>
  <si>
    <t>32PRO</t>
  </si>
  <si>
    <t>PROCESOS</t>
  </si>
  <si>
    <t>ENCARGADO DE TURNO</t>
  </si>
  <si>
    <t>JEFE DE SALA</t>
  </si>
  <si>
    <t>G     15 CHL</t>
  </si>
  <si>
    <t>G15</t>
  </si>
  <si>
    <t>Gerente</t>
  </si>
  <si>
    <t>LÍDER TÁCTICO</t>
  </si>
  <si>
    <t>0155</t>
  </si>
  <si>
    <t>Permiso cumpleaños</t>
  </si>
  <si>
    <t>36GRH</t>
  </si>
  <si>
    <t>RH OS</t>
  </si>
  <si>
    <t>ENCARGADO TURNO</t>
  </si>
  <si>
    <t>G     16 CHL</t>
  </si>
  <si>
    <t>G16</t>
  </si>
  <si>
    <t>0156</t>
  </si>
  <si>
    <t>Permiso mudanza</t>
  </si>
  <si>
    <t>38CSO</t>
  </si>
  <si>
    <t>CADENA SUMINISTRO OS</t>
  </si>
  <si>
    <t>COMERCIAL Y CADENA DE SUMINISTRO</t>
  </si>
  <si>
    <t>ENCARGADO TURNO CHILE</t>
  </si>
  <si>
    <t>G     17</t>
  </si>
  <si>
    <t>G17</t>
  </si>
  <si>
    <t>0157</t>
  </si>
  <si>
    <t>Permiso por Matrimonio</t>
  </si>
  <si>
    <t>36GRT</t>
  </si>
  <si>
    <t>RH OS OKM</t>
  </si>
  <si>
    <t>JEFE SALA</t>
  </si>
  <si>
    <t>G     17 CHL</t>
  </si>
  <si>
    <t>0158</t>
  </si>
  <si>
    <t>Permiso Nacimiento Hijo</t>
  </si>
  <si>
    <t>37ADQ</t>
  </si>
  <si>
    <t>ADQUISICIONES</t>
  </si>
  <si>
    <t>DII</t>
  </si>
  <si>
    <t>JEFE SALA OXXO</t>
  </si>
  <si>
    <t>G     18 CHL</t>
  </si>
  <si>
    <t>G18</t>
  </si>
  <si>
    <t>0159</t>
  </si>
  <si>
    <t>Permiso Salud Preventiva</t>
  </si>
  <si>
    <t>37CON</t>
  </si>
  <si>
    <t>CONSTRUCCION</t>
  </si>
  <si>
    <t>JEFE LOCAL</t>
  </si>
  <si>
    <t>LIDER DE TIENDA</t>
  </si>
  <si>
    <t>G     19 CHL</t>
  </si>
  <si>
    <t>G19</t>
  </si>
  <si>
    <t>0160</t>
  </si>
  <si>
    <t>Permiso por muerte de hijo en gestación</t>
  </si>
  <si>
    <t>50TKS</t>
  </si>
  <si>
    <t>LOS TRAPENSES</t>
  </si>
  <si>
    <t>TIENDA</t>
  </si>
  <si>
    <t>LIDER</t>
  </si>
  <si>
    <t>G20</t>
  </si>
  <si>
    <t>0161</t>
  </si>
  <si>
    <t>Permiso defunción primer grado</t>
  </si>
  <si>
    <t>50SKV</t>
  </si>
  <si>
    <t>ISIDORA</t>
  </si>
  <si>
    <t xml:space="preserve">LIDER </t>
  </si>
  <si>
    <t>D     21</t>
  </si>
  <si>
    <t>Director</t>
  </si>
  <si>
    <t>LÍDER ESTRATÉGICO</t>
  </si>
  <si>
    <t>0162</t>
  </si>
  <si>
    <t>Permiso defunción segundo grado</t>
  </si>
  <si>
    <t>50CRX</t>
  </si>
  <si>
    <t>APOQUINDO 6</t>
  </si>
  <si>
    <t>0163</t>
  </si>
  <si>
    <t>Ausencia injustificada</t>
  </si>
  <si>
    <t>Ausencia</t>
  </si>
  <si>
    <t>50JIO</t>
  </si>
  <si>
    <t>APOQUINDO 7</t>
  </si>
  <si>
    <t>LIDER OXXO</t>
  </si>
  <si>
    <t>0164</t>
  </si>
  <si>
    <t>Permiso Capacitación</t>
  </si>
  <si>
    <t>50AQL</t>
  </si>
  <si>
    <t>EBRO</t>
  </si>
  <si>
    <t>LIDER TIENDA</t>
  </si>
  <si>
    <t>0165</t>
  </si>
  <si>
    <t>Permiso Capacitación por horas</t>
  </si>
  <si>
    <t>50OFN</t>
  </si>
  <si>
    <t>EL BOSQUE NORTE</t>
  </si>
  <si>
    <t>LIDER TIENDA CHILE</t>
  </si>
  <si>
    <t>0166</t>
  </si>
  <si>
    <t>Accidente de Trayecto</t>
  </si>
  <si>
    <t>50NMT</t>
  </si>
  <si>
    <t>EL GOLF</t>
  </si>
  <si>
    <t>JEFE LOCAL OXXO</t>
  </si>
  <si>
    <t>0167</t>
  </si>
  <si>
    <t>Contracto Suspension</t>
  </si>
  <si>
    <t>50GBU</t>
  </si>
  <si>
    <t>FRANCISCO DE AGUIRRE</t>
  </si>
  <si>
    <t>CAJERO PART TIME 30 HRS</t>
  </si>
  <si>
    <t>0168</t>
  </si>
  <si>
    <t>Licencia Parental Preventiva</t>
  </si>
  <si>
    <t>50KOA</t>
  </si>
  <si>
    <t>LUIS PASTEUR</t>
  </si>
  <si>
    <t>CAJERO POLIFUNCIONAL PART TIME</t>
  </si>
  <si>
    <t>0169</t>
  </si>
  <si>
    <t>Contracto Suspension Cuidado Hijo</t>
  </si>
  <si>
    <t>50HPU</t>
  </si>
  <si>
    <t>LUIS THAYER OJEDA</t>
  </si>
  <si>
    <t>CAJERO UBER</t>
  </si>
  <si>
    <t>0170</t>
  </si>
  <si>
    <t>Días Personales</t>
  </si>
  <si>
    <t>50CQD</t>
  </si>
  <si>
    <t>MARCHANT PEREIRA</t>
  </si>
  <si>
    <t>Cajero Nocturno</t>
  </si>
  <si>
    <t>1100</t>
  </si>
  <si>
    <t>Vacaciones (Nueva)</t>
  </si>
  <si>
    <t>50XQO</t>
  </si>
  <si>
    <t>NAPOLEON</t>
  </si>
  <si>
    <t>Cajero PT 15</t>
  </si>
  <si>
    <t>CAJERO PT 15</t>
  </si>
  <si>
    <t>50VHN</t>
  </si>
  <si>
    <t>LA CONCEPCION</t>
  </si>
  <si>
    <t>CAJERO PART TIME 25 HRS</t>
  </si>
  <si>
    <t>CAJERO PT 25</t>
  </si>
  <si>
    <t>50DXJ</t>
  </si>
  <si>
    <t>PROVIDENCIA 1</t>
  </si>
  <si>
    <t>CAJERO PART TIME 15 HRS</t>
  </si>
  <si>
    <t>50GKR</t>
  </si>
  <si>
    <t>PEDRO DE VALDIVIA 3</t>
  </si>
  <si>
    <t>Cajero PT 25</t>
  </si>
  <si>
    <t>50NRA</t>
  </si>
  <si>
    <t>APOQUINDO 2</t>
  </si>
  <si>
    <t>CAJERO PT 30 UBER</t>
  </si>
  <si>
    <t>50NBN</t>
  </si>
  <si>
    <t>BILBAO - MONTT</t>
  </si>
  <si>
    <t>CAJERO PT UBER EATS</t>
  </si>
  <si>
    <t>50OCT</t>
  </si>
  <si>
    <t>NORUEGA</t>
  </si>
  <si>
    <t>50OPH</t>
  </si>
  <si>
    <t>GUARDIA VIEJA</t>
  </si>
  <si>
    <t>50QKJ</t>
  </si>
  <si>
    <t>LYON 2</t>
  </si>
  <si>
    <t>PT 25 HORAS</t>
  </si>
  <si>
    <t>50SLM</t>
  </si>
  <si>
    <t>APOQUINDO 4</t>
  </si>
  <si>
    <t>CAJERO PART TIME UBER</t>
  </si>
  <si>
    <t>50VLX</t>
  </si>
  <si>
    <t>APOQUINDO 1</t>
  </si>
  <si>
    <t>CAJERO UBER EATS PT 30 HRS</t>
  </si>
  <si>
    <t>50ARE</t>
  </si>
  <si>
    <t>COLON 1</t>
  </si>
  <si>
    <t>CAJERO PART TIME 20 HRS</t>
  </si>
  <si>
    <t>50KJI</t>
  </si>
  <si>
    <t>SIMON BOLIVAR - HAMBURGO</t>
  </si>
  <si>
    <t>50UXA</t>
  </si>
  <si>
    <t>LA PLAZA</t>
  </si>
  <si>
    <t>CAJERO PT 30 HRS</t>
  </si>
  <si>
    <t>ITEM REM</t>
  </si>
  <si>
    <t>CLASIFICACION</t>
  </si>
  <si>
    <t>CTA CONTABLE</t>
  </si>
  <si>
    <t>CONCEPTO CONTABLE</t>
  </si>
  <si>
    <t>50DPR</t>
  </si>
  <si>
    <t>PADRE MARIANO</t>
  </si>
  <si>
    <t>CAJERO PART TIME AM 25 HRS</t>
  </si>
  <si>
    <t>CAJERO PT 25 AM</t>
  </si>
  <si>
    <t>1000-Sueldo Contrato</t>
  </si>
  <si>
    <t>REMUNERACIONES</t>
  </si>
  <si>
    <t>Remuneraciones Locales</t>
  </si>
  <si>
    <t>50VOR</t>
  </si>
  <si>
    <t>PROVIDENCIA 2</t>
  </si>
  <si>
    <t>CAJERO PART TIME MIDDLE 1 25 HRS</t>
  </si>
  <si>
    <t>CAJERO PT 25 MIDDLE 1</t>
  </si>
  <si>
    <t>MI11-Gratificación l</t>
  </si>
  <si>
    <t>Gratificacion Locales</t>
  </si>
  <si>
    <t>50ARD</t>
  </si>
  <si>
    <t>ÑUÑOA</t>
  </si>
  <si>
    <t>CAJERO PART TIME 25 PM HRS</t>
  </si>
  <si>
    <t>CAJERO PT 25 PM</t>
  </si>
  <si>
    <t>1031-Bono inventario</t>
  </si>
  <si>
    <t>BONOS</t>
  </si>
  <si>
    <t>BonoInventario 1  Locales</t>
  </si>
  <si>
    <t>50GDJ</t>
  </si>
  <si>
    <t>APOQUINDO - SAN PASCUAL</t>
  </si>
  <si>
    <t>CAJERO PART TIME PM 25 HRS</t>
  </si>
  <si>
    <t>1033-Bono Turno Noct</t>
  </si>
  <si>
    <t>Bono  Imponible Locales</t>
  </si>
  <si>
    <t>50VOP</t>
  </si>
  <si>
    <t>SAN DAMIAN</t>
  </si>
  <si>
    <t>CAJERO PART TIME 30 HRS NOCTURNO</t>
  </si>
  <si>
    <t>CAJERO PT 30 NOCTURNO</t>
  </si>
  <si>
    <t>1034-Bono Asistencia</t>
  </si>
  <si>
    <t>50POS</t>
  </si>
  <si>
    <t>COLON 2</t>
  </si>
  <si>
    <t>Cajero Nocturno 30 HRS</t>
  </si>
  <si>
    <t>1091-Bono Matrimonio</t>
  </si>
  <si>
    <t>50HIS</t>
  </si>
  <si>
    <t>PLAZA SOTOMAYOR - VALPARAISO</t>
  </si>
  <si>
    <t>CAJERO POLIFIUNCIONAL</t>
  </si>
  <si>
    <t>1035-Bono Productivi</t>
  </si>
  <si>
    <t>50DSH</t>
  </si>
  <si>
    <t>METRO ÑUÑOA</t>
  </si>
  <si>
    <t>JEFE DE SALA NOCTURNO</t>
  </si>
  <si>
    <t>1080-Bono Responsabi</t>
  </si>
  <si>
    <t>50KUF</t>
  </si>
  <si>
    <t>CAMINO EL ALBA</t>
  </si>
  <si>
    <t>CAJERO NOCTURNO PT 30 HRS</t>
  </si>
  <si>
    <t>1037-Recargo Domingo</t>
  </si>
  <si>
    <t>50GJS</t>
  </si>
  <si>
    <t>METRO LOS LEONES</t>
  </si>
  <si>
    <t>CAJERO PART TIME 30 HRS NOCTURNOS</t>
  </si>
  <si>
    <t>1038-Recargo Feriado</t>
  </si>
  <si>
    <t>50SWS</t>
  </si>
  <si>
    <t>SIMON BOLIVAR</t>
  </si>
  <si>
    <t>Cajero PT 30 Nocturno</t>
  </si>
  <si>
    <t>1050-Horas Extras 50</t>
  </si>
  <si>
    <t>HORAS EXTRAS</t>
  </si>
  <si>
    <t>Horas Extras locales</t>
  </si>
  <si>
    <t>50LTD</t>
  </si>
  <si>
    <t>EMILIA TELLEZ</t>
  </si>
  <si>
    <t>CAJERO UBER PART TIME 30 HRS</t>
  </si>
  <si>
    <t>PREMIO ANUAL</t>
  </si>
  <si>
    <t>SIN CLASIFICAR</t>
  </si>
  <si>
    <t>50MLM</t>
  </si>
  <si>
    <t>PIO XI</t>
  </si>
  <si>
    <t>PT 30 Nocturno</t>
  </si>
  <si>
    <t>1043-Dif.Sueldo mes</t>
  </si>
  <si>
    <t>50VKK</t>
  </si>
  <si>
    <t>ALCANTARA 1</t>
  </si>
  <si>
    <t>1102-Bono Vacaciones</t>
  </si>
  <si>
    <t>Bono Vacaciones</t>
  </si>
  <si>
    <t>50DKO</t>
  </si>
  <si>
    <t>METRO FRANKLIN</t>
  </si>
  <si>
    <t>1054-Horas Extras 50</t>
  </si>
  <si>
    <t>50EDF</t>
  </si>
  <si>
    <t>EJERCITO - ALAMEDA</t>
  </si>
  <si>
    <t>CAJERO POLUFUNCIONAL</t>
  </si>
  <si>
    <t>CAJERO PART TIME 25 HRS 25 HRS</t>
  </si>
  <si>
    <t>1013-Asignación Sala</t>
  </si>
  <si>
    <t>BENEFICIOS AL PERSONAL</t>
  </si>
  <si>
    <t>Beneficios al personal LOCAL</t>
  </si>
  <si>
    <t>50MAD</t>
  </si>
  <si>
    <t>METRO BIOBIO</t>
  </si>
  <si>
    <t>AGUINALDO</t>
  </si>
  <si>
    <t>50JMU</t>
  </si>
  <si>
    <t>LYON 1</t>
  </si>
  <si>
    <t>1012-Asignación Movi</t>
  </si>
  <si>
    <t>Locomocion Locales</t>
  </si>
  <si>
    <t>50BJT</t>
  </si>
  <si>
    <t>HUECHURABA</t>
  </si>
  <si>
    <t>1011-Asignación Cola</t>
  </si>
  <si>
    <t>Gastos de Colación Locales</t>
  </si>
  <si>
    <t>50REU</t>
  </si>
  <si>
    <t>COLON - PONTEVEDRA</t>
  </si>
  <si>
    <t>/E01-Seguro desemple</t>
  </si>
  <si>
    <t>APORTES PATRONALES</t>
  </si>
  <si>
    <t>Seguro Cesantia Empleador  Loca</t>
  </si>
  <si>
    <t>50OOC</t>
  </si>
  <si>
    <t>VIÑA DEL MAR</t>
  </si>
  <si>
    <t>/E02-Contribución fo</t>
  </si>
  <si>
    <t>50TSA</t>
  </si>
  <si>
    <t>BANDERA</t>
  </si>
  <si>
    <t>/E03-Seguro desemple</t>
  </si>
  <si>
    <t>50SBL</t>
  </si>
  <si>
    <t>PEDRO DE VALDIVIA 2</t>
  </si>
  <si>
    <t>/E04-Contribución mu</t>
  </si>
  <si>
    <t>Mutual  Locales</t>
  </si>
  <si>
    <t>50HCL</t>
  </si>
  <si>
    <t>ALCANTARA 2</t>
  </si>
  <si>
    <t>/E05-Contribución mu</t>
  </si>
  <si>
    <t>50UMT</t>
  </si>
  <si>
    <t>LYON 3</t>
  </si>
  <si>
    <t>CONCEPTO</t>
  </si>
  <si>
    <t>/E08-Inv.sobrev.cont</t>
  </si>
  <si>
    <t>Aporte SIS Empleador  Locales</t>
  </si>
  <si>
    <t>50XLL</t>
  </si>
  <si>
    <t>MANUEL MONTT 1</t>
  </si>
  <si>
    <t>Compensación</t>
  </si>
  <si>
    <t>LEGAL</t>
  </si>
  <si>
    <t>/E10-Aporte al fondo</t>
  </si>
  <si>
    <t>50XRJ</t>
  </si>
  <si>
    <t>LOS MILITARES</t>
  </si>
  <si>
    <t>Reunión</t>
  </si>
  <si>
    <t>OTRO</t>
  </si>
  <si>
    <t>1045-Bono Meta Venta</t>
  </si>
  <si>
    <t>Bono Ventas  Locales</t>
  </si>
  <si>
    <t>50FLP</t>
  </si>
  <si>
    <t>LA FORESTA - VIÑA DEL MAR</t>
  </si>
  <si>
    <t>Licencia Médica Estándar</t>
  </si>
  <si>
    <t>LICENCIA</t>
  </si>
  <si>
    <t>1020-Bono Auditoría</t>
  </si>
  <si>
    <t>Bono por auditoría locales</t>
  </si>
  <si>
    <t>50VSU</t>
  </si>
  <si>
    <t>SAN FRANCISCO</t>
  </si>
  <si>
    <t>1032-Bono Rotación</t>
  </si>
  <si>
    <t>Bono Rotación Locales</t>
  </si>
  <si>
    <t>50VLL</t>
  </si>
  <si>
    <t>MALL PLAZA VESPUCIO</t>
  </si>
  <si>
    <t>P. Administrativo</t>
  </si>
  <si>
    <t>1023-Recargo Domingo</t>
  </si>
  <si>
    <t>50PCH</t>
  </si>
  <si>
    <t>PLAZA DE ASIS</t>
  </si>
  <si>
    <t>INVENTARIO (ENTRADA - SALIDA)</t>
  </si>
  <si>
    <t>1024-Recargo Feriado</t>
  </si>
  <si>
    <t>50XEV</t>
  </si>
  <si>
    <t>HOLANDA - PIO X</t>
  </si>
  <si>
    <t>A033_Accidente de trabajo</t>
  </si>
  <si>
    <t>1046-Horas extras 50</t>
  </si>
  <si>
    <t>50AMA</t>
  </si>
  <si>
    <t>BALMORAL - ALONSO DE CORDOVA</t>
  </si>
  <si>
    <t>P. Fallecimiento</t>
  </si>
  <si>
    <t>1051-Horas Extras 50</t>
  </si>
  <si>
    <t>50GNW</t>
  </si>
  <si>
    <t>SAN PABLO - MORANDE</t>
  </si>
  <si>
    <t>Ley 20823</t>
  </si>
  <si>
    <t>1116- Horas extras 50% J30</t>
  </si>
  <si>
    <t>50OVN</t>
  </si>
  <si>
    <t>ANTONIO BELLET</t>
  </si>
  <si>
    <t>A053_Permiso por Cumpleaños</t>
  </si>
  <si>
    <t>1042-Complemento de</t>
  </si>
  <si>
    <t>50DWS</t>
  </si>
  <si>
    <t>IRARRAZAVAL - SAN JORGE</t>
  </si>
  <si>
    <t>Capacitación</t>
  </si>
  <si>
    <t>1081-Bono Nacimiento</t>
  </si>
  <si>
    <t>50WGH</t>
  </si>
  <si>
    <t>MIGUEL DE OLIVARES</t>
  </si>
  <si>
    <t>A002_Ausencia Justificada</t>
  </si>
  <si>
    <t>AUSENCIA INJUSTIFICADA</t>
  </si>
  <si>
    <t>1101-Bono Trabajo Es</t>
  </si>
  <si>
    <t>50BPT</t>
  </si>
  <si>
    <t>ECUADOR - PURISIMA</t>
  </si>
  <si>
    <t>A030_Licencia Post Natal</t>
  </si>
  <si>
    <t>1106-Dif asig año</t>
  </si>
  <si>
    <t>50JAK</t>
  </si>
  <si>
    <t>SANTA VICTORIA</t>
  </si>
  <si>
    <t>A031_Licencia Prenatal</t>
  </si>
  <si>
    <t>1057-Bono Venta Comp</t>
  </si>
  <si>
    <t>50PUF</t>
  </si>
  <si>
    <t>AGUSTINAS - SAN MARTIN</t>
  </si>
  <si>
    <t>A008_Permiso Matrimonio</t>
  </si>
  <si>
    <t>1058-Bono Continuida</t>
  </si>
  <si>
    <t>50AVA</t>
  </si>
  <si>
    <t>SAN DIEGO - COQUIMBO</t>
  </si>
  <si>
    <t xml:space="preserve">Oxxo Flex Dias Descanso  </t>
  </si>
  <si>
    <t>1115-Bono ICR</t>
  </si>
  <si>
    <t>50SAS</t>
  </si>
  <si>
    <t>ELEUTERIO RAMIREZ - NATANIEL COX</t>
  </si>
  <si>
    <t>Permiso Vocal de Mesa</t>
  </si>
  <si>
    <t>1119-Apoyo Local</t>
  </si>
  <si>
    <t>Bono Apoyo Locales</t>
  </si>
  <si>
    <t>50LOT</t>
  </si>
  <si>
    <t>HUERFANOS</t>
  </si>
  <si>
    <t>Permiso con Goce</t>
  </si>
  <si>
    <t>1077-Apoyo Local D.A</t>
  </si>
  <si>
    <t>50XFE</t>
  </si>
  <si>
    <t>SANTA ROSA - PORVENIR</t>
  </si>
  <si>
    <t>A042_Post Natal parent. Madre</t>
  </si>
  <si>
    <t>1061-Dif.Sueldo mes</t>
  </si>
  <si>
    <t>50IAB</t>
  </si>
  <si>
    <t>IRARRAZAVAL - ANTONIO VARAS</t>
  </si>
  <si>
    <t>A037_Patología del embarazo</t>
  </si>
  <si>
    <t>1087-Bono Responsabi</t>
  </si>
  <si>
    <t>50ASM</t>
  </si>
  <si>
    <t>APOQUINDO - SANTA MAGDALENA</t>
  </si>
  <si>
    <t>A043_Post Natal parent. Padre</t>
  </si>
  <si>
    <t>1085-Colacion Especi</t>
  </si>
  <si>
    <t>50MPC</t>
  </si>
  <si>
    <t>METRO CAL Y CANTO</t>
  </si>
  <si>
    <t>PERMISO FLEX</t>
  </si>
  <si>
    <t>1086-Movilización Es</t>
  </si>
  <si>
    <t>50RNT</t>
  </si>
  <si>
    <t>ROSARIO NORTE</t>
  </si>
  <si>
    <t>Accidentes</t>
  </si>
  <si>
    <t>A060_Permiso Pag. Contingencia</t>
  </si>
  <si>
    <t>1065-Asignación Mov.</t>
  </si>
  <si>
    <t>Movilización Inventario</t>
  </si>
  <si>
    <t>50AQC</t>
  </si>
  <si>
    <t>VON SCHROEDER</t>
  </si>
  <si>
    <t>A034_Accidente de trayecto</t>
  </si>
  <si>
    <t>Feriado Irrenunciable</t>
  </si>
  <si>
    <t>1073-Asignación Cola</t>
  </si>
  <si>
    <t>50RBP</t>
  </si>
  <si>
    <t>LIMACHE - VIANA</t>
  </si>
  <si>
    <t>A047_Post Natal parental Med M</t>
  </si>
  <si>
    <t>A009_Permiso Con Goce sueldo</t>
  </si>
  <si>
    <t>1068-Asignación Mov</t>
  </si>
  <si>
    <t>50LBB</t>
  </si>
  <si>
    <t>LOS BARBECHOS</t>
  </si>
  <si>
    <t>A038_Enfermedad Profesional</t>
  </si>
  <si>
    <t>A007_Permiso Defunción</t>
  </si>
  <si>
    <t>50BLL</t>
  </si>
  <si>
    <t>BILBAO - LOS LEONES</t>
  </si>
  <si>
    <t>P. Sindical</t>
  </si>
  <si>
    <t>50ELY</t>
  </si>
  <si>
    <t>ELIODORO YAÑEZ</t>
  </si>
  <si>
    <t>A039_Enf. Hijo Menor 1 año</t>
  </si>
  <si>
    <t>50IVB</t>
  </si>
  <si>
    <t>IRARRAZAVAL - BUSTAMANTE</t>
  </si>
  <si>
    <t>Otro</t>
  </si>
  <si>
    <t>50CPN</t>
  </si>
  <si>
    <t>CARLOS PEÑA</t>
  </si>
  <si>
    <t>A035_Licencia parcial</t>
  </si>
  <si>
    <t>50DGG</t>
  </si>
  <si>
    <t>HERNANDO DE AGUIRRE</t>
  </si>
  <si>
    <t>A086_Perm Matri o AUC Empresa</t>
  </si>
  <si>
    <t>50VVE</t>
  </si>
  <si>
    <t>VITACURA - VESPUCIO</t>
  </si>
  <si>
    <t>Permiso para Votaciones</t>
  </si>
  <si>
    <t>50UCH</t>
  </si>
  <si>
    <t>METRO U DE CHILE</t>
  </si>
  <si>
    <t>P001_Capacitación</t>
  </si>
  <si>
    <t>50ALM</t>
  </si>
  <si>
    <t>APOQUINDO - LOS MILITARES</t>
  </si>
  <si>
    <t>Domingo Ley Permiso</t>
  </si>
  <si>
    <t>50VAL</t>
  </si>
  <si>
    <t>VESPUCIO - ALBACETE</t>
  </si>
  <si>
    <t>Permiso sin Goce</t>
  </si>
  <si>
    <t>50TMT</t>
  </si>
  <si>
    <t>TORO MAZOTE</t>
  </si>
  <si>
    <t>OXXO P. Mudanza</t>
  </si>
  <si>
    <t>50SEM</t>
  </si>
  <si>
    <t>SEMINARIO</t>
  </si>
  <si>
    <t>A032_Licencia Medica</t>
  </si>
  <si>
    <t>50PZC</t>
  </si>
  <si>
    <t>PLAZA CHACABUCO</t>
  </si>
  <si>
    <t>A046_Post Natal parental Med P</t>
  </si>
  <si>
    <t>50ISI</t>
  </si>
  <si>
    <t>ISIDORA 2</t>
  </si>
  <si>
    <t>Descanso</t>
  </si>
  <si>
    <t>50HSP</t>
  </si>
  <si>
    <t>HOSPITALES</t>
  </si>
  <si>
    <t>A001_Ausencia Injustificada</t>
  </si>
  <si>
    <t>50ARL</t>
  </si>
  <si>
    <t>ARLEGUI</t>
  </si>
  <si>
    <t>AUSENTE INJUSTIFICADO</t>
  </si>
  <si>
    <t>50MGR</t>
  </si>
  <si>
    <t>MACUL - GRECIA</t>
  </si>
  <si>
    <t>PRESENTE</t>
  </si>
  <si>
    <t>50LRA</t>
  </si>
  <si>
    <t>LIRA 43</t>
  </si>
  <si>
    <t>No Planificado</t>
  </si>
  <si>
    <t>Turno No Planificado</t>
  </si>
  <si>
    <t>50VNA</t>
  </si>
  <si>
    <t>VIANA</t>
  </si>
  <si>
    <t>A054_Permiso Unión Civil</t>
  </si>
  <si>
    <t>50ITA</t>
  </si>
  <si>
    <t>IRARRAZAVAL - ITALIA</t>
  </si>
  <si>
    <t>Presencial</t>
  </si>
  <si>
    <t>50BER</t>
  </si>
  <si>
    <t>EL BERGANTIN</t>
  </si>
  <si>
    <t>50TAJ</t>
  </si>
  <si>
    <t>NUEVA TAJAMAR</t>
  </si>
  <si>
    <t>A048_Permiso Médico</t>
  </si>
  <si>
    <t>50GRE</t>
  </si>
  <si>
    <t>GRECIA EXEQUIEL</t>
  </si>
  <si>
    <t>A061_Asignación Teletrabajo</t>
  </si>
  <si>
    <t>50ROS</t>
  </si>
  <si>
    <t>ROSARIO SUR</t>
  </si>
  <si>
    <t>A005_Descanso compensatorio</t>
  </si>
  <si>
    <t>50TEB</t>
  </si>
  <si>
    <t>TERMINAL DE BUSES</t>
  </si>
  <si>
    <t>A011_Permiso sin goce sueldo</t>
  </si>
  <si>
    <t>50LRR</t>
  </si>
  <si>
    <t>LARRAIN</t>
  </si>
  <si>
    <t>A014_Permiso Posnatal Masculin</t>
  </si>
  <si>
    <t>50PFO</t>
  </si>
  <si>
    <t>PEDRO FONTOVA</t>
  </si>
  <si>
    <t>A084_Perm Nac. Día Completo</t>
  </si>
  <si>
    <t>50BAR</t>
  </si>
  <si>
    <t>BARROS ERRAZURIZ CLP</t>
  </si>
  <si>
    <t>A017_Sindical con goce sueldo</t>
  </si>
  <si>
    <t>50EFO</t>
  </si>
  <si>
    <t>ENRIQUE FOSTER</t>
  </si>
  <si>
    <t>A013_Permiso Sindical</t>
  </si>
  <si>
    <t>50SOC</t>
  </si>
  <si>
    <t>SOCOFAR</t>
  </si>
  <si>
    <t>AUSENTE</t>
  </si>
  <si>
    <t>50CLC</t>
  </si>
  <si>
    <t>CLINICA LAS CONDES</t>
  </si>
  <si>
    <t>Permiso Cuidado Familiar</t>
  </si>
  <si>
    <t>50WIL</t>
  </si>
  <si>
    <t>CARLOS WILSON</t>
  </si>
  <si>
    <t>50APO</t>
  </si>
  <si>
    <t>APOQUINDO 8</t>
  </si>
  <si>
    <t>50COL</t>
  </si>
  <si>
    <t>CERRO COLORADO</t>
  </si>
  <si>
    <t>50SJS</t>
  </si>
  <si>
    <t>SAN JOSE DE LA SIERRA</t>
  </si>
  <si>
    <t>50LIB</t>
  </si>
  <si>
    <t>LIBERTAD (V REGION)</t>
  </si>
  <si>
    <t>Horario Libre</t>
  </si>
  <si>
    <t>50HEN</t>
  </si>
  <si>
    <t>HENDAYA</t>
  </si>
  <si>
    <t>50LAF</t>
  </si>
  <si>
    <t>OUTLET LA FLORIDA</t>
  </si>
  <si>
    <t>50PCL</t>
  </si>
  <si>
    <t>CONDELL 1</t>
  </si>
  <si>
    <t>50MAI</t>
  </si>
  <si>
    <t>PLAZA MAIPU</t>
  </si>
  <si>
    <t>50PDV</t>
  </si>
  <si>
    <t>P. DE VALDIVIA 4 CLP</t>
  </si>
  <si>
    <t>504A3</t>
  </si>
  <si>
    <t>TERMINAL DE BUSES II</t>
  </si>
  <si>
    <t>50EER</t>
  </si>
  <si>
    <t>LAS CONDES 1</t>
  </si>
  <si>
    <t>50VSD</t>
  </si>
  <si>
    <t>MALL PLAZA NORTE</t>
  </si>
  <si>
    <t>50TEJ</t>
  </si>
  <si>
    <t>MARDOQUEO FERNANDEZ</t>
  </si>
  <si>
    <t>50BMP</t>
  </si>
  <si>
    <t>SANTO DOMINGO</t>
  </si>
  <si>
    <t>50DBW</t>
  </si>
  <si>
    <t>REÑACA 1</t>
  </si>
  <si>
    <t>50AMU</t>
  </si>
  <si>
    <t>TORRE AMUNATEGUI</t>
  </si>
  <si>
    <t>50ISU</t>
  </si>
  <si>
    <t>IRARRAZAVAL - SUECIA</t>
  </si>
  <si>
    <t>50KT5</t>
  </si>
  <si>
    <t>PEDRO DE OÑA</t>
  </si>
  <si>
    <t>502UE</t>
  </si>
  <si>
    <t>MIRAFLORES</t>
  </si>
  <si>
    <t>50OJJ</t>
  </si>
  <si>
    <t>BADAJOZ CLP</t>
  </si>
  <si>
    <t>50VRH</t>
  </si>
  <si>
    <t>ABDON CIFUENTES</t>
  </si>
  <si>
    <t>50W0N</t>
  </si>
  <si>
    <t>SANTIAGO DOWNTOWN CLP</t>
  </si>
  <si>
    <t>503YO</t>
  </si>
  <si>
    <t>SAN DIEGO 2</t>
  </si>
  <si>
    <t>50MAR</t>
  </si>
  <si>
    <t>MATUCANA ROMERO</t>
  </si>
  <si>
    <t>50AAF</t>
  </si>
  <si>
    <t>PIEDRA ROJA</t>
  </si>
  <si>
    <t>50AGU</t>
  </si>
  <si>
    <t>EL AGUILUCHO</t>
  </si>
  <si>
    <t>504UJ</t>
  </si>
  <si>
    <t>BANDERA 2</t>
  </si>
  <si>
    <t>50HXH</t>
  </si>
  <si>
    <t>WORLD TRADE CENTER</t>
  </si>
  <si>
    <t>50UVK</t>
  </si>
  <si>
    <t>IMPERIO</t>
  </si>
  <si>
    <t>508LO</t>
  </si>
  <si>
    <t>AMUNATEGUI</t>
  </si>
  <si>
    <t>50BRI</t>
  </si>
  <si>
    <t>LAS BRISAS</t>
  </si>
  <si>
    <t>50UC4</t>
  </si>
  <si>
    <t>LAUTARO FERRER</t>
  </si>
  <si>
    <t>50BM6</t>
  </si>
  <si>
    <t>JOSEFINA EDWARDS CLP</t>
  </si>
  <si>
    <t>50D6N</t>
  </si>
  <si>
    <t>5 NORTE</t>
  </si>
  <si>
    <t>5026M</t>
  </si>
  <si>
    <t>PLAZA VERGARA</t>
  </si>
  <si>
    <t>501CG</t>
  </si>
  <si>
    <t>IRARRAZAVAL 1</t>
  </si>
  <si>
    <t>50MMT</t>
  </si>
  <si>
    <t>MARTIN DE ZAMORA</t>
  </si>
  <si>
    <t>50AC1</t>
  </si>
  <si>
    <t>PLAZA DEL INCA</t>
  </si>
  <si>
    <t>50GIA</t>
  </si>
  <si>
    <t>AGUSTINAS - SAN MARTIN 2</t>
  </si>
  <si>
    <t>50Q3X</t>
  </si>
  <si>
    <t>PATIO BELLAVISTA</t>
  </si>
  <si>
    <t>50W8F</t>
  </si>
  <si>
    <t>SEMINARIO 2</t>
  </si>
  <si>
    <t>50V5C</t>
  </si>
  <si>
    <t>ESTORIL</t>
  </si>
  <si>
    <t>50GXO</t>
  </si>
  <si>
    <t>RENATO SANCHEZ</t>
  </si>
  <si>
    <t>5032O</t>
  </si>
  <si>
    <t>DLL BARROS BORGOÑO</t>
  </si>
  <si>
    <t>50UD1</t>
  </si>
  <si>
    <t>BULNES</t>
  </si>
  <si>
    <t>50NC0</t>
  </si>
  <si>
    <t>EL FARO</t>
  </si>
  <si>
    <t>50LVO</t>
  </si>
  <si>
    <t>EL MANZANO</t>
  </si>
  <si>
    <t>LLICO</t>
  </si>
  <si>
    <t>50GDL</t>
  </si>
  <si>
    <t>LOS COLIGUES</t>
  </si>
  <si>
    <t>5019M</t>
  </si>
  <si>
    <t>LOS MILITARES 2</t>
  </si>
  <si>
    <t>50AZF</t>
  </si>
  <si>
    <t>PUDAHUEL SAN PABLO 2</t>
  </si>
  <si>
    <t>50HZO</t>
  </si>
  <si>
    <t>TRISTAN MATTA</t>
  </si>
  <si>
    <t>5033A</t>
  </si>
  <si>
    <t>EDMUNDO ELUCHANS</t>
  </si>
  <si>
    <t>506ZY</t>
  </si>
  <si>
    <t>PEDRO TORRES</t>
  </si>
  <si>
    <t>50FKT</t>
  </si>
  <si>
    <t>BARROS ARANA</t>
  </si>
  <si>
    <t>5091B</t>
  </si>
  <si>
    <t>HOLANDA 3</t>
  </si>
  <si>
    <t>50H1H</t>
  </si>
  <si>
    <t>MALL PASEO SAN BERNARDO</t>
  </si>
  <si>
    <t>50ODG</t>
  </si>
  <si>
    <t>INGLATERRA</t>
  </si>
  <si>
    <t>50XUH</t>
  </si>
  <si>
    <t>MATTE PEREZ CLP</t>
  </si>
  <si>
    <t>50TFX</t>
  </si>
  <si>
    <t>CHESTERTON 1</t>
  </si>
  <si>
    <t>50P7X</t>
  </si>
  <si>
    <t>PEDRO DE VALDIVIA 6</t>
  </si>
  <si>
    <t>502IY</t>
  </si>
  <si>
    <t>INDEPENDENCIA 2</t>
  </si>
  <si>
    <t>50BFI</t>
  </si>
  <si>
    <t>SAN MARTIN CAUPOLICAN</t>
  </si>
  <si>
    <t>50AFU</t>
  </si>
  <si>
    <t>SANTA AMALIA</t>
  </si>
  <si>
    <t>5033F</t>
  </si>
  <si>
    <t>VITACURA-RIESCO</t>
  </si>
  <si>
    <t>50SRE</t>
  </si>
  <si>
    <t>AUGUSTA GERONA</t>
  </si>
  <si>
    <t>CONCHA Y TORO 199</t>
  </si>
  <si>
    <t>505WD</t>
  </si>
  <si>
    <t>PARTENON 2</t>
  </si>
  <si>
    <t>50UYZ</t>
  </si>
  <si>
    <t>TAMARUGO</t>
  </si>
  <si>
    <t>50FTC</t>
  </si>
  <si>
    <t>SAN EUGENIO</t>
  </si>
  <si>
    <t>50XCV</t>
  </si>
  <si>
    <t>CRUZ DEL SUR</t>
  </si>
  <si>
    <t>505F3</t>
  </si>
  <si>
    <t>OUTLET LA FABRICA</t>
  </si>
  <si>
    <t>50MNO</t>
  </si>
  <si>
    <t>MANQUEHUE NORTE CLP</t>
  </si>
  <si>
    <t>50LAE</t>
  </si>
  <si>
    <t>CONCON - REÑACA</t>
  </si>
  <si>
    <t>50K17</t>
  </si>
  <si>
    <t>PEDRO DE VALDIVIA 5</t>
  </si>
  <si>
    <t>50DKQ</t>
  </si>
  <si>
    <t>FELIX BULNES</t>
  </si>
  <si>
    <t>50KAD</t>
  </si>
  <si>
    <t>DR JOHOW</t>
  </si>
  <si>
    <t>506HQ</t>
  </si>
  <si>
    <t>CANTAGALLOS</t>
  </si>
  <si>
    <t>5050J</t>
  </si>
  <si>
    <t>PATIO RANCAGUA</t>
  </si>
  <si>
    <t>50WUM</t>
  </si>
  <si>
    <t>RODRIGUEZ PINTO</t>
  </si>
  <si>
    <t>50FNM</t>
  </si>
  <si>
    <t>OHIGGINS</t>
  </si>
  <si>
    <t>50AQY</t>
  </si>
  <si>
    <t>PEDRO DE VALDIVIA 9</t>
  </si>
  <si>
    <t>50TCP</t>
  </si>
  <si>
    <t>MATUCANA SD</t>
  </si>
  <si>
    <t>50TI7</t>
  </si>
  <si>
    <t>RENGO FREIRE</t>
  </si>
  <si>
    <t>500LI</t>
  </si>
  <si>
    <t>JJ PEREZ</t>
  </si>
  <si>
    <t>50EVA</t>
  </si>
  <si>
    <t>PRAT SALINAS</t>
  </si>
  <si>
    <t>50IHX</t>
  </si>
  <si>
    <t>VILLA ALEMANA 2</t>
  </si>
  <si>
    <t>50PJ0</t>
  </si>
  <si>
    <t>MONUMENTO CHACABUCO</t>
  </si>
  <si>
    <t>50QM5</t>
  </si>
  <si>
    <t>PLAZA INES DE SUAREZ</t>
  </si>
  <si>
    <t>50FVZ</t>
  </si>
  <si>
    <t>ASTURIAS</t>
  </si>
  <si>
    <t>50INN</t>
  </si>
  <si>
    <t>QUILLOTA 1</t>
  </si>
  <si>
    <t>50SEA</t>
  </si>
  <si>
    <t>OUTLET PATIO MAIPU</t>
  </si>
  <si>
    <t>50UPK</t>
  </si>
  <si>
    <t>QUILICURA 1</t>
  </si>
  <si>
    <t>505XC</t>
  </si>
  <si>
    <t>PLAZA VICTORIA</t>
  </si>
  <si>
    <t>50GP4</t>
  </si>
  <si>
    <t>OROMPELLO</t>
  </si>
  <si>
    <t>50PWL</t>
  </si>
  <si>
    <t>NATANIEL COX – COPIAPO</t>
  </si>
  <si>
    <t>50ZIR</t>
  </si>
  <si>
    <t>VICUÑA DIAGONAL PARAGUAY</t>
  </si>
  <si>
    <t>50Y74</t>
  </si>
  <si>
    <t>10 JULIO SAN DIEGO</t>
  </si>
  <si>
    <t>50XJP</t>
  </si>
  <si>
    <t>JOSE LUIS COO</t>
  </si>
  <si>
    <t>504GZ</t>
  </si>
  <si>
    <t>OHIGGINS ANGOL</t>
  </si>
  <si>
    <t>508R8</t>
  </si>
  <si>
    <t>METRO TOBALABA</t>
  </si>
  <si>
    <t>50NF1</t>
  </si>
  <si>
    <t>13 NORTE</t>
  </si>
  <si>
    <t>506J6</t>
  </si>
  <si>
    <t>ABATE MOLINA</t>
  </si>
  <si>
    <t>509H6</t>
  </si>
  <si>
    <t>MACHALÍ SEWEL</t>
  </si>
  <si>
    <t>50EFH</t>
  </si>
  <si>
    <t>PLACA LA DEHESA</t>
  </si>
  <si>
    <t>501KO</t>
  </si>
  <si>
    <t>TALCA 1</t>
  </si>
  <si>
    <t>503LC</t>
  </si>
  <si>
    <t>TALCA 2</t>
  </si>
  <si>
    <t>50FLF</t>
  </si>
  <si>
    <t>LAS VERBENAS</t>
  </si>
  <si>
    <t>50FZZ</t>
  </si>
  <si>
    <t>MIRADOR AZUL</t>
  </si>
  <si>
    <t>50YRD</t>
  </si>
  <si>
    <t>AV LA FLORIDA</t>
  </si>
  <si>
    <t>50F4M</t>
  </si>
  <si>
    <t>SAN ANTONIO 80</t>
  </si>
  <si>
    <t>50CEI</t>
  </si>
  <si>
    <t>BARCELONA</t>
  </si>
  <si>
    <t>50SEJ</t>
  </si>
  <si>
    <t>METRO MONEDA</t>
  </si>
  <si>
    <t>JOSE MANUEL INFANTE</t>
  </si>
  <si>
    <t>50H7X</t>
  </si>
  <si>
    <t>WORK LA DEHESA</t>
  </si>
  <si>
    <t>50AJL</t>
  </si>
  <si>
    <t>LA CASTELLANA</t>
  </si>
  <si>
    <t>50LVH</t>
  </si>
  <si>
    <t>6 PONIENTE</t>
  </si>
  <si>
    <t>505VE</t>
  </si>
  <si>
    <t>PATIO LOS LEONES</t>
  </si>
  <si>
    <t>50QO5</t>
  </si>
  <si>
    <t>MALL PLAZA EGAÑA 2</t>
  </si>
  <si>
    <t>50AL4</t>
  </si>
  <si>
    <t>ANIBAL PINTO</t>
  </si>
  <si>
    <t>50KT9</t>
  </si>
  <si>
    <t>RIPLEY LA CALERA</t>
  </si>
  <si>
    <t>50XWC</t>
  </si>
  <si>
    <t>CERRO EL PLOMO</t>
  </si>
  <si>
    <t>50TQB</t>
  </si>
  <si>
    <t>ESTADO MONEDA</t>
  </si>
  <si>
    <t>50SQ0</t>
  </si>
  <si>
    <t>METRO PLAZA EGAÑA</t>
  </si>
  <si>
    <t>506J4</t>
  </si>
  <si>
    <t>PORTUGAL</t>
  </si>
  <si>
    <t>50APB</t>
  </si>
  <si>
    <t>PATIO QUILICURA</t>
  </si>
  <si>
    <t>50XC6</t>
  </si>
  <si>
    <t>ALTO MACUL</t>
  </si>
  <si>
    <t>508NJ</t>
  </si>
  <si>
    <t>LINARES 1</t>
  </si>
  <si>
    <t>50Z8X</t>
  </si>
  <si>
    <t>ARGENTINA 2</t>
  </si>
  <si>
    <t>500UN</t>
  </si>
  <si>
    <t>PLAZA CHIGUAYANTE</t>
  </si>
  <si>
    <t>50B51</t>
  </si>
  <si>
    <t>LOS TALAVERAS</t>
  </si>
  <si>
    <t>50CLM</t>
  </si>
  <si>
    <t>LOMAS DE SAN SEBASTIAN</t>
  </si>
  <si>
    <t>50FF5</t>
  </si>
  <si>
    <t>METRO GRUTA LOURDES</t>
  </si>
  <si>
    <t>50V11</t>
  </si>
  <si>
    <t>ARENAS DE TALAGANTE</t>
  </si>
  <si>
    <t>50KJP</t>
  </si>
  <si>
    <t>METRO HOSPITAL PINO</t>
  </si>
  <si>
    <t>50OLS</t>
  </si>
  <si>
    <t>OKM LUIS CARRERA</t>
  </si>
  <si>
    <t>50OJM</t>
  </si>
  <si>
    <t>OKM JORGE MATTE</t>
  </si>
  <si>
    <t>50OMC</t>
  </si>
  <si>
    <t>OKM MACUL</t>
  </si>
  <si>
    <t>50OCH</t>
  </si>
  <si>
    <t>OKM CACHAGUA</t>
  </si>
  <si>
    <t>50ORO</t>
  </si>
  <si>
    <t>OKM CAPITAN ORELLANA</t>
  </si>
  <si>
    <t>50OSL</t>
  </si>
  <si>
    <t>OKM STRIP LARRAÍN</t>
  </si>
  <si>
    <t>50OIM</t>
  </si>
  <si>
    <t>OKM JUAN MOYA</t>
  </si>
  <si>
    <t>50OMQ</t>
  </si>
  <si>
    <t>OKM MANQUEHUE</t>
  </si>
  <si>
    <t>50OMO</t>
  </si>
  <si>
    <t>OKM MANUEL MONTT</t>
  </si>
  <si>
    <t>50ORS</t>
  </si>
  <si>
    <t>OKM ROSARIO SUR</t>
  </si>
  <si>
    <t>50OAV</t>
  </si>
  <si>
    <t>OKM ANTONIO VARAS</t>
  </si>
  <si>
    <t>50OGD</t>
  </si>
  <si>
    <t>OKM GENERAL DEL CANTO</t>
  </si>
  <si>
    <t>50OJC</t>
  </si>
  <si>
    <t>OKM JOSE DGO. CAÑAS</t>
  </si>
  <si>
    <t>50OCM</t>
  </si>
  <si>
    <t>OKM CHAMISERO</t>
  </si>
  <si>
    <t>50OMS</t>
  </si>
  <si>
    <t>OKM MANUEL DE LA LASTRA</t>
  </si>
  <si>
    <t>50OAG</t>
  </si>
  <si>
    <t>OKM AIEP GRAJALES</t>
  </si>
  <si>
    <t>50OLH</t>
  </si>
  <si>
    <t>OKM LAS HUALTATAS</t>
  </si>
  <si>
    <t>50OVM</t>
  </si>
  <si>
    <t>OKM VICUÑA MACKENNA</t>
  </si>
  <si>
    <t>50OSU</t>
  </si>
  <si>
    <t>OKM SUCRE</t>
  </si>
  <si>
    <t>50ORM</t>
  </si>
  <si>
    <t>OKM REÑACA</t>
  </si>
  <si>
    <t>50OMD</t>
  </si>
  <si>
    <t>OKM MIDDLETON</t>
  </si>
  <si>
    <t>50OPN</t>
  </si>
  <si>
    <t>OKM PLAZA EGAÑA</t>
  </si>
  <si>
    <t>50OAE</t>
  </si>
  <si>
    <t>OKM ARAUCO ESTACION</t>
  </si>
  <si>
    <t>50OEX</t>
  </si>
  <si>
    <t>OKM EXEQUIEL FERNANDEZ</t>
  </si>
  <si>
    <t>50OTA</t>
  </si>
  <si>
    <t>OKM TERMINAL ALAMEDA</t>
  </si>
  <si>
    <t>50OBN</t>
  </si>
  <si>
    <t>OKM BROWN NORTE</t>
  </si>
  <si>
    <t>50OMH</t>
  </si>
  <si>
    <t>OKM MARCHANT PEREIRA</t>
  </si>
  <si>
    <t>50OAZ</t>
  </si>
  <si>
    <t>OKM ALVAREZ</t>
  </si>
  <si>
    <t>50OBM</t>
  </si>
  <si>
    <t>OKM MONTEMAR</t>
  </si>
  <si>
    <t>50OUV</t>
  </si>
  <si>
    <t>OKM UNAB VIÑA</t>
  </si>
  <si>
    <t>50OBS</t>
  </si>
  <si>
    <t>OKM BOULEVARD DEL SOL</t>
  </si>
  <si>
    <t>50ORE</t>
  </si>
  <si>
    <t>OKM CAMINO REAL</t>
  </si>
  <si>
    <t>50OCL</t>
  </si>
  <si>
    <t>OKM COLON</t>
  </si>
  <si>
    <t>50OZA</t>
  </si>
  <si>
    <t>OKM JANUARIO OVALLE</t>
  </si>
  <si>
    <t>50OIN</t>
  </si>
  <si>
    <t>OKM LOS INGLESES</t>
  </si>
  <si>
    <t>50OAL</t>
  </si>
  <si>
    <t>OKM ALAMEDA</t>
  </si>
  <si>
    <t>50OLL</t>
  </si>
  <si>
    <t>OKM LAS LILAS</t>
  </si>
  <si>
    <t>50OTE</t>
  </si>
  <si>
    <t>OKM TEATINOS</t>
  </si>
  <si>
    <t>50ONL</t>
  </si>
  <si>
    <t>OKM NUEVA LAS CONDES II</t>
  </si>
  <si>
    <t>50ORP</t>
  </si>
  <si>
    <t>OKM REPÚBLICA</t>
  </si>
  <si>
    <t>50OMM</t>
  </si>
  <si>
    <t>OKM MAYOR ABE</t>
  </si>
  <si>
    <t>50OHT</t>
  </si>
  <si>
    <t>OKM HAMBURGO</t>
  </si>
  <si>
    <t>50ORI</t>
  </si>
  <si>
    <t>OKM RIESCO</t>
  </si>
  <si>
    <t>50OSB</t>
  </si>
  <si>
    <t>OKM SIMÓN BOLIVAR</t>
  </si>
  <si>
    <t>50OAP</t>
  </si>
  <si>
    <t>OKM ALMIRANTE PASTENE</t>
  </si>
  <si>
    <t>50OTP</t>
  </si>
  <si>
    <t>OKM TOBALABA</t>
  </si>
  <si>
    <t>50OTL</t>
  </si>
  <si>
    <t>OKM TOLEDO</t>
  </si>
  <si>
    <t>50ONC</t>
  </si>
  <si>
    <t>OKM NATANIEL COX</t>
  </si>
  <si>
    <t>50OCI</t>
  </si>
  <si>
    <t>OKM CARMEN</t>
  </si>
  <si>
    <t>50OMZ</t>
  </si>
  <si>
    <t>OKM MARTIN DE ZAMORA</t>
  </si>
  <si>
    <t>50OEY</t>
  </si>
  <si>
    <t>OKM ELIODORO YAÑEZ</t>
  </si>
  <si>
    <t>50OMT</t>
  </si>
  <si>
    <t>OKM MAITENCILLO</t>
  </si>
  <si>
    <t>50OCO</t>
  </si>
  <si>
    <t>OKM CHICUREO</t>
  </si>
  <si>
    <t>50OEB</t>
  </si>
  <si>
    <t>OKM EL BOSQUE</t>
  </si>
  <si>
    <t>50OER</t>
  </si>
  <si>
    <t>OKM EL RODEO</t>
  </si>
  <si>
    <t>50OIS</t>
  </si>
  <si>
    <t>OKM ISABEL LA CATOLICA</t>
  </si>
  <si>
    <t>50OQH</t>
  </si>
  <si>
    <t>OKM QUINCHAMALI</t>
  </si>
  <si>
    <t>50OSP</t>
  </si>
  <si>
    <t>OKM SAN PASCUAL</t>
  </si>
  <si>
    <t>50OSC</t>
  </si>
  <si>
    <t>OKM SANTA BLANCA</t>
  </si>
  <si>
    <t>50OLI</t>
  </si>
  <si>
    <t>OKM LIBERTAD</t>
  </si>
  <si>
    <t>50OST</t>
  </si>
  <si>
    <t>OKM SUBCENTRO</t>
  </si>
  <si>
    <t>50OKA</t>
  </si>
  <si>
    <t>OKM ACACIOS</t>
  </si>
  <si>
    <t>50OVL</t>
  </si>
  <si>
    <t>OKM VILLUCO</t>
  </si>
  <si>
    <t>50OCR</t>
  </si>
  <si>
    <t>OKM CHESTERTON</t>
  </si>
  <si>
    <t>50OEN</t>
  </si>
  <si>
    <t>OKM ENCOMENDEROS</t>
  </si>
  <si>
    <t>50OQU</t>
  </si>
  <si>
    <t>OKM QUINTA</t>
  </si>
  <si>
    <t>50OLT</t>
  </si>
  <si>
    <t>OKM SUECIA</t>
  </si>
  <si>
    <t>50OPR</t>
  </si>
  <si>
    <t>OKM AVENIDA PERÚ</t>
  </si>
  <si>
    <t>50ORC</t>
  </si>
  <si>
    <t>OKM RECREO I</t>
  </si>
  <si>
    <t>50OEM</t>
  </si>
  <si>
    <t>OKM CIUDAD EMPRESARIAL</t>
  </si>
  <si>
    <t>50OEP</t>
  </si>
  <si>
    <t>OKM ELIECER PARADA</t>
  </si>
  <si>
    <t>50OHU</t>
  </si>
  <si>
    <t>OKM HUINGANAL II</t>
  </si>
  <si>
    <t>50OCV</t>
  </si>
  <si>
    <t>OKM EDO. CASTILLO VELASCO</t>
  </si>
  <si>
    <t>50OSZ</t>
  </si>
  <si>
    <t>OKM SANTA BEATRIZ</t>
  </si>
  <si>
    <t>50OCS</t>
  </si>
  <si>
    <t>OKM CARMEN SILVA</t>
  </si>
  <si>
    <t>50OIR</t>
  </si>
  <si>
    <t>OKM IRARRAZAVAL</t>
  </si>
  <si>
    <t>50OPE</t>
  </si>
  <si>
    <t>OKM EL PARQUE</t>
  </si>
  <si>
    <t>50ODA</t>
  </si>
  <si>
    <t>OKM DIEGO DE ALMAGRO</t>
  </si>
  <si>
    <t>50ODP</t>
  </si>
  <si>
    <t>OKM DIEGO PORTALES</t>
  </si>
  <si>
    <t>50OSI</t>
  </si>
  <si>
    <t>OKM SANTA ISABEL</t>
  </si>
  <si>
    <t>50OLM</t>
  </si>
  <si>
    <t>OKM ESCUELA MILITAR</t>
  </si>
  <si>
    <t>50OPD</t>
  </si>
  <si>
    <t>OKM PROVIDENCIA</t>
  </si>
  <si>
    <t>50OCD</t>
  </si>
  <si>
    <t>OKM CATEDRAL TEATINOS</t>
  </si>
  <si>
    <t>50OMI</t>
  </si>
  <si>
    <t>OKM MIRAFLORES</t>
  </si>
  <si>
    <t>50OMR</t>
  </si>
  <si>
    <t>OKM MARCOLETA</t>
  </si>
  <si>
    <t>50OSF</t>
  </si>
  <si>
    <t>OKM STRIP SAN FRANCISCO</t>
  </si>
  <si>
    <t>50OSO</t>
  </si>
  <si>
    <t>OKM STRIP OSSA</t>
  </si>
  <si>
    <t>50OFG</t>
  </si>
  <si>
    <t>OKM FRANCISCO NOGUERA</t>
  </si>
  <si>
    <t>50OTO</t>
  </si>
  <si>
    <t>OKM TOESCA</t>
  </si>
  <si>
    <t>50OTH</t>
  </si>
  <si>
    <t>OKM LUIS THAYER OJEDA</t>
  </si>
  <si>
    <t>50OAC</t>
  </si>
  <si>
    <t>OKM ALONSO DE CAMARGO</t>
  </si>
  <si>
    <t>50OCA</t>
  </si>
  <si>
    <t>OKM CHACABUCO</t>
  </si>
  <si>
    <t>50OAJ</t>
  </si>
  <si>
    <t>OKM ARMANDO JARAMILLO</t>
  </si>
  <si>
    <t>50OMN</t>
  </si>
  <si>
    <t>OKM MORANDE</t>
  </si>
  <si>
    <t>50OHM</t>
  </si>
  <si>
    <t>OKM HERNANDO DE MAGALLANES</t>
  </si>
  <si>
    <t>50OPV</t>
  </si>
  <si>
    <t>OKM PEDRO DE VALDIVIA</t>
  </si>
  <si>
    <t>50OLY</t>
  </si>
  <si>
    <t>OKM LINCOYÁN</t>
  </si>
  <si>
    <t>50OAD</t>
  </si>
  <si>
    <t>OKM ABDON CIFUENTES</t>
  </si>
  <si>
    <t>50OAM</t>
  </si>
  <si>
    <t>OKM MALL ARAUCO MAIPÚ</t>
  </si>
  <si>
    <t>50OME</t>
  </si>
  <si>
    <t>OKM METRO CHILE-ESPAÑA</t>
  </si>
  <si>
    <t>50OTT</t>
  </si>
  <si>
    <t>OKM METRO MATTA</t>
  </si>
  <si>
    <t>50OMP</t>
  </si>
  <si>
    <t>OKM MALL PLAZA OESTE</t>
  </si>
  <si>
    <t>50OPM</t>
  </si>
  <si>
    <t>OKM METRO PLAZA MAIPÚ</t>
  </si>
  <si>
    <t>50OML</t>
  </si>
  <si>
    <t>OKM METRO LOS LEONES</t>
  </si>
  <si>
    <t>50OPI</t>
  </si>
  <si>
    <t>OKM PLAZA ITALIA</t>
  </si>
  <si>
    <t>50OTI</t>
  </si>
  <si>
    <t>OKM INMACULADA</t>
  </si>
  <si>
    <t>50ORN</t>
  </si>
  <si>
    <t>OKM ROSARIO NORTE</t>
  </si>
  <si>
    <t>50CRF</t>
  </si>
  <si>
    <t>METRO ÑUBLE</t>
  </si>
  <si>
    <t>50EXN</t>
  </si>
  <si>
    <t>ALAMEDA - SAN ISIDRO</t>
  </si>
  <si>
    <t>50EOH</t>
  </si>
  <si>
    <t>ALAMEDA</t>
  </si>
  <si>
    <t>50DJE</t>
  </si>
  <si>
    <t>PARTENON</t>
  </si>
  <si>
    <t>50FFR</t>
  </si>
  <si>
    <t>FROILAN ROA FR1</t>
  </si>
  <si>
    <t>54FFR</t>
  </si>
  <si>
    <t>FROILAN ROA FR2</t>
  </si>
  <si>
    <t>54FCS</t>
  </si>
  <si>
    <t>LAS CONDES - SANZIO FR2</t>
  </si>
  <si>
    <t>50FEV</t>
  </si>
  <si>
    <t>LOS LEONES - EL VERGEL FR1</t>
  </si>
  <si>
    <t>54FEV</t>
  </si>
  <si>
    <t>LOS LEONES - EL VERGEL FR2</t>
  </si>
  <si>
    <t>54FAC</t>
  </si>
  <si>
    <t>ALONSO DE CORDOVA FR2</t>
  </si>
  <si>
    <t>54FPR</t>
  </si>
  <si>
    <t>PASEO EL ROBLE FR2</t>
  </si>
  <si>
    <t>54FRR</t>
  </si>
  <si>
    <t>ROSARIO ROSALES FR2</t>
  </si>
  <si>
    <t>54FSM</t>
  </si>
  <si>
    <t>APOQUINDO - SANTA MAGDALENA FR2</t>
  </si>
  <si>
    <t>50FCS</t>
  </si>
  <si>
    <t>LAS CONDES - SANZIO FR1</t>
  </si>
  <si>
    <t>50AUF</t>
  </si>
  <si>
    <t>PADRE HURTADO</t>
  </si>
  <si>
    <t>50BYG</t>
  </si>
  <si>
    <t>MACUL 1</t>
  </si>
  <si>
    <t>5041I</t>
  </si>
  <si>
    <t>ROSAS</t>
  </si>
  <si>
    <t>50MD2</t>
  </si>
  <si>
    <t>HUERFANOS 2</t>
  </si>
  <si>
    <t>50LWL</t>
  </si>
  <si>
    <t>MANUEL TOCORNAL</t>
  </si>
  <si>
    <t>5039L</t>
  </si>
  <si>
    <t>SANTA ROSA - MARCOLETA</t>
  </si>
  <si>
    <t>50MON</t>
  </si>
  <si>
    <t>MONCKEBERG</t>
  </si>
  <si>
    <t>50MCA</t>
  </si>
  <si>
    <t>MATUCANA MAPOCHO</t>
  </si>
  <si>
    <t>50ZF3</t>
  </si>
  <si>
    <t>PAJARITOS 1</t>
  </si>
  <si>
    <t>50ZVR</t>
  </si>
  <si>
    <t>CARMEN COVARRUBIAS</t>
  </si>
  <si>
    <t>503A4</t>
  </si>
  <si>
    <t>MATTA 1</t>
  </si>
  <si>
    <t>50ZM4</t>
  </si>
  <si>
    <t>BYNON SANTA MARIA</t>
  </si>
  <si>
    <t>50LCO</t>
  </si>
  <si>
    <t>LIRA - CURICO</t>
  </si>
  <si>
    <t>50OBO</t>
  </si>
  <si>
    <t>OKM BORGOÑO</t>
  </si>
  <si>
    <t>50PO9</t>
  </si>
  <si>
    <t>BRASIL</t>
  </si>
  <si>
    <t>50ANM</t>
  </si>
  <si>
    <t>ARTURO PRAT - ELEUTERIO</t>
  </si>
  <si>
    <t>50HSE</t>
  </si>
  <si>
    <t>SANTA ANA - COMPAÑIA</t>
  </si>
  <si>
    <t>50ESF</t>
  </si>
  <si>
    <t>EYZAGUIRRE - SAN FRANCISCO</t>
  </si>
  <si>
    <t>50RCD</t>
  </si>
  <si>
    <t>PATRONATO</t>
  </si>
  <si>
    <t>50NU9</t>
  </si>
  <si>
    <t>NATANIEL 2</t>
  </si>
  <si>
    <t>50PRE</t>
  </si>
  <si>
    <t>PRAT - EYZAGUIRRE</t>
  </si>
  <si>
    <t>50MIJ</t>
  </si>
  <si>
    <t>INDEPENDENCIA - FRANCIA</t>
  </si>
  <si>
    <t>50FAB</t>
  </si>
  <si>
    <t>SEGUNDA AVENIDA</t>
  </si>
  <si>
    <t>50KVG</t>
  </si>
  <si>
    <t>FROILAN ROA</t>
  </si>
  <si>
    <t>50LVP</t>
  </si>
  <si>
    <t>LAS CONDES - SANZIO</t>
  </si>
  <si>
    <t>50VWD</t>
  </si>
  <si>
    <t>LOS LEONES - EL VERGEL</t>
  </si>
  <si>
    <t>50ASB</t>
  </si>
  <si>
    <t>MALL PLAZA EGAÑA</t>
  </si>
  <si>
    <t>50JQX</t>
  </si>
  <si>
    <t>VITACURA 1</t>
  </si>
  <si>
    <t>50HJK</t>
  </si>
  <si>
    <t>CARMEN</t>
  </si>
  <si>
    <t>50HRV</t>
  </si>
  <si>
    <t>LYON 4</t>
  </si>
  <si>
    <t>50FVO</t>
  </si>
  <si>
    <t>LOS PRESIDENTES - TOBALABA</t>
  </si>
  <si>
    <t>50OFF</t>
  </si>
  <si>
    <t>ALONSO DE CORDOVA</t>
  </si>
  <si>
    <t>50JOX</t>
  </si>
  <si>
    <t>APOQUINDO 5</t>
  </si>
  <si>
    <t>50EFK</t>
  </si>
  <si>
    <t>PADRE HURTADO - EL ALBA</t>
  </si>
  <si>
    <t>50OSM</t>
  </si>
  <si>
    <t>OKM MERCED</t>
  </si>
  <si>
    <t>50OSE</t>
  </si>
  <si>
    <t>OKM SERRANO</t>
  </si>
  <si>
    <t>50OES</t>
  </si>
  <si>
    <t>OKM ESMERALDA</t>
  </si>
  <si>
    <t>50OGA</t>
  </si>
  <si>
    <t>OKM GRAN AVENIDA</t>
  </si>
  <si>
    <t>50ORY</t>
  </si>
  <si>
    <t>OKM LYON</t>
  </si>
  <si>
    <t>50OLA</t>
  </si>
  <si>
    <t>OKM LAS CATALPAS</t>
  </si>
  <si>
    <t>50OBA</t>
  </si>
  <si>
    <t>OKM BARROS ARANA</t>
  </si>
  <si>
    <t>50OUC</t>
  </si>
  <si>
    <t>OKM UNAB CASONA</t>
  </si>
  <si>
    <t>50OLR</t>
  </si>
  <si>
    <t>OKM LA REINA</t>
  </si>
  <si>
    <t>50OSJ</t>
  </si>
  <si>
    <t>OKM AIEP SAN JOAQUIN</t>
  </si>
  <si>
    <t>50OCN</t>
  </si>
  <si>
    <t>OKM METRO COLON</t>
  </si>
  <si>
    <t>50OCQ</t>
  </si>
  <si>
    <t>OKM COQUIMBO</t>
  </si>
  <si>
    <t>50ONP</t>
  </si>
  <si>
    <t>OKM NUEVA PROVIDENCIA</t>
  </si>
  <si>
    <t>50OSR</t>
  </si>
  <si>
    <t>OKM SOTERO DEL RÍO</t>
  </si>
  <si>
    <t>50ARN</t>
  </si>
  <si>
    <t>BOULEVARD NUEVA LAS CONDES</t>
  </si>
  <si>
    <t>50UPR</t>
  </si>
  <si>
    <t>CAMPO DE DEPORTES</t>
  </si>
  <si>
    <t>50ERS</t>
  </si>
  <si>
    <t>ESMERALDA - ROSS</t>
  </si>
  <si>
    <t>50JRG</t>
  </si>
  <si>
    <t>SUECIA</t>
  </si>
  <si>
    <t>50QMC</t>
  </si>
  <si>
    <t>VITACURA 2</t>
  </si>
  <si>
    <t>50OWS</t>
  </si>
  <si>
    <t>OKM WARREN SMITH</t>
  </si>
  <si>
    <t>50OVE</t>
  </si>
  <si>
    <t>OKM VECINAL 90</t>
  </si>
  <si>
    <t>50OSD</t>
  </si>
  <si>
    <t>OKM SAN DAMIÁN</t>
  </si>
  <si>
    <t>50ONY</t>
  </si>
  <si>
    <t>OKM NUEVA YORK</t>
  </si>
  <si>
    <t>50ONG</t>
  </si>
  <si>
    <t>OKM NORUEGA</t>
  </si>
  <si>
    <t>50OMA</t>
  </si>
  <si>
    <t>OKM MONEDA</t>
  </si>
  <si>
    <t>50OLC</t>
  </si>
  <si>
    <t>OKM LA CAPITANÍA</t>
  </si>
  <si>
    <t>50OLN</t>
  </si>
  <si>
    <t>OKM LA CONCEPCIÓN</t>
  </si>
  <si>
    <t>50OIG</t>
  </si>
  <si>
    <t>OKM ISIDORA GOYENECHEA</t>
  </si>
  <si>
    <t>50OAQ</t>
  </si>
  <si>
    <t>OKM APOQUINDO (AUGUSTO LEGUIA)</t>
  </si>
  <si>
    <t>50OGU</t>
  </si>
  <si>
    <t>OKM AGUSTINAS</t>
  </si>
  <si>
    <t>50MCF</t>
  </si>
  <si>
    <t>CEDIS - FRANQUICIAS</t>
  </si>
  <si>
    <t>50KNK</t>
  </si>
  <si>
    <t>APOQUINDO 3</t>
  </si>
  <si>
    <t>50VKJ</t>
  </si>
  <si>
    <t>LAS FLORES</t>
  </si>
  <si>
    <t>50JGH</t>
  </si>
  <si>
    <t>MANUEL MONTT 2</t>
  </si>
  <si>
    <t>10GGR</t>
  </si>
  <si>
    <t>GERENCIA GENERAL</t>
  </si>
  <si>
    <t>17CLP</t>
  </si>
  <si>
    <t>CENTRAL OS</t>
  </si>
  <si>
    <t>10GCF</t>
  </si>
  <si>
    <t>CECO FICTICIO</t>
  </si>
  <si>
    <t>17OKM</t>
  </si>
  <si>
    <t>OFICINAS SERVICIOS OKM</t>
  </si>
  <si>
    <t>31AFG</t>
  </si>
  <si>
    <t>FINANZAS OS - GROWTH</t>
  </si>
  <si>
    <t>31AFT</t>
  </si>
  <si>
    <t>FINANZAS OS - TRANSFORM</t>
  </si>
  <si>
    <t>31FOG</t>
  </si>
  <si>
    <t>FINANZAS OP - GROWTH</t>
  </si>
  <si>
    <t>31FOT</t>
  </si>
  <si>
    <t>FINANZAS OP - TRANSFORM</t>
  </si>
  <si>
    <t>37DII</t>
  </si>
  <si>
    <t>DESARROLLO INMOBILIARIO</t>
  </si>
  <si>
    <t>38CST</t>
  </si>
  <si>
    <t>CADENA SUMINISTRO - TRANSFORM</t>
  </si>
  <si>
    <t>37EXP</t>
  </si>
  <si>
    <t>EXPANSION</t>
  </si>
  <si>
    <t>50MCT</t>
  </si>
  <si>
    <t>CEDIS - TRANSFORM</t>
  </si>
  <si>
    <t>50AH4</t>
  </si>
  <si>
    <t>AUTOABASTO CEDIS</t>
  </si>
  <si>
    <t>39COG</t>
  </si>
  <si>
    <t>COMERCIAL - GROWTH</t>
  </si>
  <si>
    <t>39COT</t>
  </si>
  <si>
    <t>COMERCIAL - TRANSFORM</t>
  </si>
  <si>
    <t>41PUB</t>
  </si>
  <si>
    <t>PUBLICIDAD - RUN</t>
  </si>
  <si>
    <t>41PBG</t>
  </si>
  <si>
    <t>PUBLICIDAD - GROWTH</t>
  </si>
  <si>
    <t>41PBT</t>
  </si>
  <si>
    <t>PUBLICIDAD - TRANSFORM</t>
  </si>
  <si>
    <t>37MAN</t>
  </si>
  <si>
    <t>MANTENCIÓN - RUN</t>
  </si>
  <si>
    <t>37DIT</t>
  </si>
  <si>
    <t>DESARROLLO INMOBILIARIO - TRANSFORM</t>
  </si>
  <si>
    <t>37GES</t>
  </si>
  <si>
    <t>GESTORIA - RUN</t>
  </si>
  <si>
    <t>37GEG</t>
  </si>
  <si>
    <t>GESTORIA - GROWTH</t>
  </si>
  <si>
    <t>37PRE</t>
  </si>
  <si>
    <t>GASTOS PREOPERATIVOS</t>
  </si>
  <si>
    <t>37PRT</t>
  </si>
  <si>
    <t>PREOPERATIVOS - TRANSFORM</t>
  </si>
  <si>
    <t>38GCS</t>
  </si>
  <si>
    <t>37ARQ</t>
  </si>
  <si>
    <t>ARQUITECTURA OS - GROWTH</t>
  </si>
  <si>
    <t>37ADG</t>
  </si>
  <si>
    <t>ADQUISICIONES - GROWTH</t>
  </si>
  <si>
    <t>37ADT</t>
  </si>
  <si>
    <t>ADQUISICIONES - TRANSFORM</t>
  </si>
  <si>
    <t>39COM</t>
  </si>
  <si>
    <t>COMERCIAL OS</t>
  </si>
  <si>
    <t>COMERCIAL</t>
  </si>
  <si>
    <t>37MOP</t>
  </si>
  <si>
    <t>MANTENCION - GROWTH</t>
  </si>
  <si>
    <t>37MAT</t>
  </si>
  <si>
    <t>MANTENCION - TRANSFORM</t>
  </si>
  <si>
    <t>37GAF</t>
  </si>
  <si>
    <t>GESTION ACTIVOS FIJOS</t>
  </si>
  <si>
    <t>36RHG</t>
  </si>
  <si>
    <t>RH OP - GROWTH</t>
  </si>
  <si>
    <t>36ROT</t>
  </si>
  <si>
    <t>RH OP - TRANSFORM</t>
  </si>
  <si>
    <t>39MER</t>
  </si>
  <si>
    <t>COMERCIAL OP</t>
  </si>
  <si>
    <t>32PRG</t>
  </si>
  <si>
    <t>PROCESOS - GROWTH</t>
  </si>
  <si>
    <t>32ODI</t>
  </si>
  <si>
    <t>DISTRITO - RUN</t>
  </si>
  <si>
    <t>32ODH</t>
  </si>
  <si>
    <t>OPERACIONES - GROWTH</t>
  </si>
  <si>
    <t>42TRN</t>
  </si>
  <si>
    <t>TRANSFORMACION OKM</t>
  </si>
  <si>
    <t>TRANSFORMACIÓN</t>
  </si>
  <si>
    <t>32PYP</t>
  </si>
  <si>
    <t>PLANEACION OS - RUN</t>
  </si>
  <si>
    <t>PLANEACION Y PROCESOS</t>
  </si>
  <si>
    <t>PLANEACION, PROCESOS Y PROYECTOS</t>
  </si>
  <si>
    <t>31EBS</t>
  </si>
  <si>
    <t>GASTOS EBS PROYECTO TRANSFORMACION</t>
  </si>
  <si>
    <t>31FRL</t>
  </si>
  <si>
    <t>GASTOS FRANQUICIAS PROYECTO TRANSFORM</t>
  </si>
  <si>
    <t>32OPR</t>
  </si>
  <si>
    <t>OFICINA DE PROYECTOS - RUN</t>
  </si>
  <si>
    <t>32OPG</t>
  </si>
  <si>
    <t>OFICINA DE PROYECTOS - GROWTH</t>
  </si>
  <si>
    <t>32OPT</t>
  </si>
  <si>
    <t>OFICINA DE PROYECTOS - TRANSFORM</t>
  </si>
  <si>
    <t>43TCL</t>
  </si>
  <si>
    <t>TI OS</t>
  </si>
  <si>
    <t>TI</t>
  </si>
  <si>
    <t>36GRG</t>
  </si>
  <si>
    <t>RH OS - GROWTH</t>
  </si>
  <si>
    <t>43TIO</t>
  </si>
  <si>
    <t>TI OPERACIONES</t>
  </si>
  <si>
    <t>43TIG</t>
  </si>
  <si>
    <t>TI OS - GROWTH</t>
  </si>
  <si>
    <t>43GUS</t>
  </si>
  <si>
    <t>TI OP - GROWTH</t>
  </si>
  <si>
    <t>43TIT</t>
  </si>
  <si>
    <t>TI - TRANSFORM</t>
  </si>
  <si>
    <t>60RFJ</t>
  </si>
  <si>
    <t>BODEGA COLON</t>
  </si>
  <si>
    <t>60UVN</t>
  </si>
  <si>
    <t>BODEGA SAN FRANCISCO</t>
  </si>
  <si>
    <t>60XLT</t>
  </si>
  <si>
    <t>BODEGA INSUMOS DE OFICINA CM</t>
  </si>
  <si>
    <t>60WGK</t>
  </si>
  <si>
    <t>BODEGA INFORMATICA CM</t>
  </si>
  <si>
    <t>60RJO</t>
  </si>
  <si>
    <t>BODEGA UNIFORMES CM</t>
  </si>
  <si>
    <t>60JEJ</t>
  </si>
  <si>
    <t>BODEGA DE STOCK</t>
  </si>
  <si>
    <t>60IUA</t>
  </si>
  <si>
    <t>BODEGA COMERCIAL</t>
  </si>
  <si>
    <t>60ATX</t>
  </si>
  <si>
    <t>BODEGA EQUIPOS DE CAMBIO</t>
  </si>
  <si>
    <t>60WGI</t>
  </si>
  <si>
    <t>BODEGA ACTIVO FIJO</t>
  </si>
  <si>
    <t>32OKM</t>
  </si>
  <si>
    <t>CENTRAL OKM</t>
  </si>
  <si>
    <t>40OKM</t>
  </si>
  <si>
    <t>SERVICIOS OKM</t>
  </si>
  <si>
    <t>15STG</t>
  </si>
  <si>
    <t>CEDIS - CEDIS</t>
  </si>
  <si>
    <t>60WGM</t>
  </si>
  <si>
    <t>BODEGA MANTENIMIENTO</t>
  </si>
  <si>
    <t>50BOC</t>
  </si>
  <si>
    <t>CEDIS</t>
  </si>
  <si>
    <t>OPERACIONES Y CADENA DE SUMINISTRO</t>
  </si>
  <si>
    <t>50MCG</t>
  </si>
  <si>
    <t>31TRA</t>
  </si>
  <si>
    <t>GENÉRICO TRANSFORMACIÓN</t>
  </si>
  <si>
    <t>31DIG</t>
  </si>
  <si>
    <t>DIGITAL</t>
  </si>
  <si>
    <t>32CHI</t>
  </si>
  <si>
    <t>CR GASTO CHILE</t>
  </si>
  <si>
    <t>32COL</t>
  </si>
  <si>
    <t>CR GASTO COLOMBIA</t>
  </si>
  <si>
    <t>32PER</t>
  </si>
  <si>
    <t>CR GASTO PERU</t>
  </si>
  <si>
    <t>32MEX</t>
  </si>
  <si>
    <t>CR GASTO MEXICO</t>
  </si>
  <si>
    <t>32BRS</t>
  </si>
  <si>
    <t>CR GASTO BRASIL</t>
  </si>
  <si>
    <t>32LDG</t>
  </si>
  <si>
    <t>CRS DIRECCIÓN GENERAL LATAM</t>
  </si>
  <si>
    <t>36LRH</t>
  </si>
  <si>
    <t>CRS RECURSOS HUMANOS LATAM</t>
  </si>
  <si>
    <t>39LCL</t>
  </si>
  <si>
    <t>CRs Comercial LATAM</t>
  </si>
  <si>
    <t>504T1</t>
  </si>
  <si>
    <t>Pedro de Valdivia 99</t>
  </si>
  <si>
    <t>50CYD</t>
  </si>
  <si>
    <t>ECHAURREN SAN FUENTES</t>
  </si>
  <si>
    <t>50OJQ</t>
  </si>
  <si>
    <t>LOS AVELLANOS</t>
  </si>
  <si>
    <t>50W6K</t>
  </si>
  <si>
    <t>EDUARDO ACEVEDO</t>
  </si>
  <si>
    <t>50C05</t>
  </si>
  <si>
    <t>VALDIVIA LOS ANGELES</t>
  </si>
  <si>
    <t>50TMK</t>
  </si>
  <si>
    <t>PLAZA DE ARMAS LA</t>
  </si>
  <si>
    <t>50N3S</t>
  </si>
  <si>
    <t>EU LOS ANDES</t>
  </si>
  <si>
    <t>50IVI</t>
  </si>
  <si>
    <t>PARQUE JARDIN</t>
  </si>
  <si>
    <t>50EVE</t>
  </si>
  <si>
    <t>EVENTOS ESPECIALES</t>
  </si>
  <si>
    <t>10CLP</t>
  </si>
  <si>
    <t>CENTRAL TIENDAS</t>
  </si>
  <si>
    <t>10OKM</t>
  </si>
  <si>
    <t>PLAZA OKM</t>
  </si>
  <si>
    <t>501CS</t>
  </si>
  <si>
    <t>PASEO ESTADO RANCAGUA</t>
  </si>
  <si>
    <t>5094V</t>
  </si>
  <si>
    <t>LO CAÑAS</t>
  </si>
  <si>
    <t>50FQG</t>
  </si>
  <si>
    <t>CHICUREO 2</t>
  </si>
  <si>
    <t>50MPS</t>
  </si>
  <si>
    <t>PRAT CURICO</t>
  </si>
  <si>
    <t>50MV2</t>
  </si>
  <si>
    <t>CARMEN 10 DE JULIO</t>
  </si>
  <si>
    <t>50QJ2</t>
  </si>
  <si>
    <t>ELEUTERIO SAN ISIDRO</t>
  </si>
  <si>
    <t>50S56</t>
  </si>
  <si>
    <t>TERMINAL RANCAGUA</t>
  </si>
  <si>
    <t>505X2</t>
  </si>
  <si>
    <t>TALCA 4</t>
  </si>
  <si>
    <t>50GPB</t>
  </si>
  <si>
    <t>COLON MALAGA</t>
  </si>
  <si>
    <t>50KOQ</t>
  </si>
  <si>
    <t>PASEO SAN JORGE</t>
  </si>
  <si>
    <t>50UKP</t>
  </si>
  <si>
    <t>METRO PLAZA PUENTE ALTO</t>
  </si>
  <si>
    <t>509H3</t>
  </si>
  <si>
    <t>MACUL LAS PALMAS</t>
  </si>
  <si>
    <t>502Z9</t>
  </si>
  <si>
    <t>MAPOCHO 2</t>
  </si>
  <si>
    <t>504NM</t>
  </si>
  <si>
    <t>PATIO LA REINA</t>
  </si>
  <si>
    <t>5084I</t>
  </si>
  <si>
    <t>VOLCAN QUIZAPÚ</t>
  </si>
  <si>
    <t>50YHZ</t>
  </si>
  <si>
    <t>WALKER MARTINEZ</t>
  </si>
  <si>
    <t>50MQU</t>
  </si>
  <si>
    <t>LA CAPITANIA</t>
  </si>
  <si>
    <t>50SFE</t>
  </si>
  <si>
    <t>SAN FRANCISCO - ELEUTERIO</t>
  </si>
  <si>
    <t>50MAV</t>
  </si>
  <si>
    <t>MACUL VESPUCIO</t>
  </si>
  <si>
    <t>50HOP</t>
  </si>
  <si>
    <t>HOLANDA 2</t>
  </si>
  <si>
    <t>50GCG</t>
  </si>
  <si>
    <t>PADRE MARIANO 2</t>
  </si>
  <si>
    <t>50IWR</t>
  </si>
  <si>
    <t>PERU - RECOLETA</t>
  </si>
  <si>
    <t>50SDA</t>
  </si>
  <si>
    <t>SAN DIEGO ARAUCO CLP</t>
  </si>
  <si>
    <t>50CEM</t>
  </si>
  <si>
    <t>CDAD EMPRESARIAL CLP</t>
  </si>
  <si>
    <t>50TCA</t>
  </si>
  <si>
    <t>TARAPACA CLP</t>
  </si>
  <si>
    <t>50PAP</t>
  </si>
  <si>
    <t>PASEO APOQUINDO CLP</t>
  </si>
  <si>
    <t>50REC</t>
  </si>
  <si>
    <t>RECOLETA 1 CLP</t>
  </si>
  <si>
    <t>50AME</t>
  </si>
  <si>
    <t>AMENGUAL</t>
  </si>
  <si>
    <t>50H5T</t>
  </si>
  <si>
    <t>ELEUTERIO LORD</t>
  </si>
  <si>
    <t>5091Q</t>
  </si>
  <si>
    <t>SERRANO TARAPACA</t>
  </si>
  <si>
    <t>501AQ</t>
  </si>
  <si>
    <t>VILLASECA</t>
  </si>
  <si>
    <t>50QLW</t>
  </si>
  <si>
    <t>LOS COLIGUES NO USAR</t>
  </si>
  <si>
    <t>50CQG</t>
  </si>
  <si>
    <t>LAS HIEDRAS</t>
  </si>
  <si>
    <t>50O3O</t>
  </si>
  <si>
    <t>FABRICIANO GONZALEZ</t>
  </si>
  <si>
    <t>50KXW</t>
  </si>
  <si>
    <t>BALMACEDA</t>
  </si>
  <si>
    <t>508XC</t>
  </si>
  <si>
    <t>PRAT-COCHRANE</t>
  </si>
  <si>
    <t>50KMT</t>
  </si>
  <si>
    <t>CALIFORNIA</t>
  </si>
  <si>
    <t>LAS REJAS</t>
  </si>
  <si>
    <t>50DT3</t>
  </si>
  <si>
    <t>MATTA 2</t>
  </si>
  <si>
    <t>50V90</t>
  </si>
  <si>
    <t>MALL PLAZA ALAMEDA</t>
  </si>
  <si>
    <t>500EV</t>
  </si>
  <si>
    <t>PUDAHUEL ENEA</t>
  </si>
  <si>
    <t>50M36</t>
  </si>
  <si>
    <t>EXEQUIEL FERNANDEZ</t>
  </si>
  <si>
    <t>50LJM</t>
  </si>
  <si>
    <t>METRO IRARRAZAVAL</t>
  </si>
  <si>
    <t>50XMX</t>
  </si>
  <si>
    <t>REÑACA 2</t>
  </si>
  <si>
    <t>50ASJ</t>
  </si>
  <si>
    <t>MAIPÚ PAICAVÍ</t>
  </si>
  <si>
    <t>50V2A</t>
  </si>
  <si>
    <t>VITACURA ZURISH</t>
  </si>
  <si>
    <t>504CC</t>
  </si>
  <si>
    <t>MANQUEHUE NORTE 2</t>
  </si>
  <si>
    <t>508J9</t>
  </si>
  <si>
    <t>PASO EL ROBLE</t>
  </si>
  <si>
    <t>50PBT</t>
  </si>
  <si>
    <t>FREIRE 780</t>
  </si>
  <si>
    <t>50GJX</t>
  </si>
  <si>
    <t>TALCA 3</t>
  </si>
  <si>
    <t>506IJ</t>
  </si>
  <si>
    <t>COLON EYZAGUIRRE</t>
  </si>
  <si>
    <t>50L7D</t>
  </si>
  <si>
    <t>SANTA TERESA LOS ANDES</t>
  </si>
  <si>
    <t>5018W</t>
  </si>
  <si>
    <t>NATANIEL 1</t>
  </si>
  <si>
    <t>503KL</t>
  </si>
  <si>
    <t>ECHAURREN Y GORBEA</t>
  </si>
  <si>
    <t>506RS</t>
  </si>
  <si>
    <t>METRO LA CISTERNA</t>
  </si>
  <si>
    <t>50H30</t>
  </si>
  <si>
    <t>MARIA ROSA VELASQUEZ</t>
  </si>
  <si>
    <t>50IA7</t>
  </si>
  <si>
    <t>DR DEL RIO</t>
  </si>
  <si>
    <t>50KH9</t>
  </si>
  <si>
    <t>LO VIAL</t>
  </si>
  <si>
    <t>50M67</t>
  </si>
  <si>
    <t>ROSARIO ROSALES</t>
  </si>
  <si>
    <t>50SSH</t>
  </si>
  <si>
    <t>PASEO PARQUE MACHALI</t>
  </si>
  <si>
    <t>50QR1</t>
  </si>
  <si>
    <t>FRANCISCO CHACON</t>
  </si>
  <si>
    <t>50F18</t>
  </si>
  <si>
    <t>CASTILLO ROJO</t>
  </si>
  <si>
    <t>50LCC</t>
  </si>
  <si>
    <t>VICUÑA PONIENTE</t>
  </si>
  <si>
    <t>50V47</t>
  </si>
  <si>
    <t>VILLA ALEMANA 1</t>
  </si>
  <si>
    <t>50I7K</t>
  </si>
  <si>
    <t>LA MERCED</t>
  </si>
  <si>
    <t>50FPW</t>
  </si>
  <si>
    <t>ALCAZAR</t>
  </si>
  <si>
    <t>50GI6</t>
  </si>
  <si>
    <t>LA CISTERNA 1</t>
  </si>
  <si>
    <t>50HLY</t>
  </si>
  <si>
    <t>BELLO HORIZONTE</t>
  </si>
  <si>
    <t>50WWS</t>
  </si>
  <si>
    <t>AGUSTINAS 4</t>
  </si>
  <si>
    <t>507U8</t>
  </si>
  <si>
    <t>LAS VIZCACHAS</t>
  </si>
  <si>
    <t>506IM</t>
  </si>
  <si>
    <t>MALL PASEO VIÑA</t>
  </si>
  <si>
    <t>50P4T</t>
  </si>
  <si>
    <t>SERRANO MELIPILLA</t>
  </si>
  <si>
    <t>508NV</t>
  </si>
  <si>
    <t>AUTOABASTO CEDIS2</t>
  </si>
  <si>
    <t>50AG7</t>
  </si>
  <si>
    <t>AV DEL MAR</t>
  </si>
  <si>
    <t>50GNP</t>
  </si>
  <si>
    <t>PUENTE P. VALDIVIA</t>
  </si>
  <si>
    <t>50Z6R</t>
  </si>
  <si>
    <t>CARLOS LORCA</t>
  </si>
  <si>
    <t>50QVX</t>
  </si>
  <si>
    <t>COSTA MONTEMAR</t>
  </si>
  <si>
    <t>50IEI</t>
  </si>
  <si>
    <t>BUSTAMANTE</t>
  </si>
  <si>
    <t>50WGO</t>
  </si>
  <si>
    <t>PLAZA LOS ANDES</t>
  </si>
  <si>
    <t>50LT4</t>
  </si>
  <si>
    <t>LAS BELLOTAS</t>
  </si>
  <si>
    <t>50S71</t>
  </si>
  <si>
    <t>OKM-LOS QUIYALLES</t>
  </si>
  <si>
    <t>50ZZG</t>
  </si>
  <si>
    <t>OKM-CONDE DEL MAULE</t>
  </si>
  <si>
    <t>50ONU</t>
  </si>
  <si>
    <t>OKM OKM-NUEVA LAS CONDES II-CL</t>
  </si>
  <si>
    <t>50OUR</t>
  </si>
  <si>
    <t>OKM UNAB REPUBLICA</t>
  </si>
  <si>
    <t>O259</t>
  </si>
  <si>
    <t>JORGE ALESSANDRI</t>
  </si>
  <si>
    <t>O260</t>
  </si>
  <si>
    <t>OXXO 260</t>
  </si>
  <si>
    <t>O261</t>
  </si>
  <si>
    <t>OXXO 261</t>
  </si>
  <si>
    <t>O262</t>
  </si>
  <si>
    <t>OXXO 262</t>
  </si>
  <si>
    <t>O263</t>
  </si>
  <si>
    <t>OXXO 263</t>
  </si>
  <si>
    <t>O264</t>
  </si>
  <si>
    <t>OXXO 264</t>
  </si>
  <si>
    <t>O265</t>
  </si>
  <si>
    <t>OXXO 265</t>
  </si>
  <si>
    <t>O266</t>
  </si>
  <si>
    <t>OXXO 266</t>
  </si>
  <si>
    <t>O267</t>
  </si>
  <si>
    <t>OXXO 267</t>
  </si>
  <si>
    <t>O268</t>
  </si>
  <si>
    <t>OXXO 268</t>
  </si>
  <si>
    <t>O269</t>
  </si>
  <si>
    <t>OXXO 269</t>
  </si>
  <si>
    <t>O270</t>
  </si>
  <si>
    <t>OXXO 270</t>
  </si>
  <si>
    <t>O278</t>
  </si>
  <si>
    <t>OXXO 278</t>
  </si>
  <si>
    <t>O279</t>
  </si>
  <si>
    <t>OXXO 279</t>
  </si>
  <si>
    <t>O280</t>
  </si>
  <si>
    <t>OXXO 280</t>
  </si>
  <si>
    <t>O281</t>
  </si>
  <si>
    <t>OXXO 281</t>
  </si>
  <si>
    <t>O282</t>
  </si>
  <si>
    <t>OXXO 282</t>
  </si>
  <si>
    <t>O283</t>
  </si>
  <si>
    <t>OXXO 283</t>
  </si>
  <si>
    <t>O290</t>
  </si>
  <si>
    <t>OXXO 290</t>
  </si>
  <si>
    <t>O291</t>
  </si>
  <si>
    <t>OXXO 291</t>
  </si>
  <si>
    <t>O292</t>
  </si>
  <si>
    <t>OXXO 292</t>
  </si>
  <si>
    <t>O293</t>
  </si>
  <si>
    <t>OXXO 293</t>
  </si>
  <si>
    <t>O294</t>
  </si>
  <si>
    <t>OXXO 294</t>
  </si>
  <si>
    <t>O295</t>
  </si>
  <si>
    <t>OXXO 295</t>
  </si>
  <si>
    <t>O296</t>
  </si>
  <si>
    <t>OXXO 296</t>
  </si>
  <si>
    <t>O297</t>
  </si>
  <si>
    <t>OXXO 297</t>
  </si>
  <si>
    <t>O302</t>
  </si>
  <si>
    <t>OXXO 302</t>
  </si>
  <si>
    <t>O303</t>
  </si>
  <si>
    <t>OXXO 303</t>
  </si>
  <si>
    <t>O304</t>
  </si>
  <si>
    <t>OXXO 304</t>
  </si>
  <si>
    <t>O305</t>
  </si>
  <si>
    <t>OXXO 305</t>
  </si>
  <si>
    <t>O306</t>
  </si>
  <si>
    <t>OXXO 306</t>
  </si>
  <si>
    <t>O307</t>
  </si>
  <si>
    <t>OXXO 307</t>
  </si>
  <si>
    <t>O308</t>
  </si>
  <si>
    <t>OXXO 308</t>
  </si>
  <si>
    <t>O309</t>
  </si>
  <si>
    <t>OXXO 309</t>
  </si>
  <si>
    <t>O310</t>
  </si>
  <si>
    <t>OXXO 310</t>
  </si>
  <si>
    <t>O311</t>
  </si>
  <si>
    <t>OXXO 311</t>
  </si>
  <si>
    <t>O318</t>
  </si>
  <si>
    <t>OXXO 318</t>
  </si>
  <si>
    <t>O319</t>
  </si>
  <si>
    <t>OXXO 319</t>
  </si>
  <si>
    <t>O320</t>
  </si>
  <si>
    <t>OXXO 320</t>
  </si>
  <si>
    <t>O321</t>
  </si>
  <si>
    <t>OXXO 321</t>
  </si>
  <si>
    <t>O322</t>
  </si>
  <si>
    <t>OXXO 322</t>
  </si>
  <si>
    <t>O323</t>
  </si>
  <si>
    <t>OXXO 323</t>
  </si>
  <si>
    <t>O324</t>
  </si>
  <si>
    <t>OXXO 324</t>
  </si>
  <si>
    <t>O325</t>
  </si>
  <si>
    <t>OXXO 325</t>
  </si>
  <si>
    <t>O333</t>
  </si>
  <si>
    <t>OXXO 333</t>
  </si>
  <si>
    <t>O334</t>
  </si>
  <si>
    <t>OXXO 334</t>
  </si>
  <si>
    <t>O335</t>
  </si>
  <si>
    <t>OXXO 335</t>
  </si>
  <si>
    <t>O336</t>
  </si>
  <si>
    <t>OXXO 336</t>
  </si>
  <si>
    <t>O337</t>
  </si>
  <si>
    <t>OXXO 337</t>
  </si>
  <si>
    <t>O338</t>
  </si>
  <si>
    <t>OXXO 338</t>
  </si>
  <si>
    <t>O345</t>
  </si>
  <si>
    <t>OXXO 345</t>
  </si>
  <si>
    <t>O346</t>
  </si>
  <si>
    <t>OXXO 346</t>
  </si>
  <si>
    <t>O347</t>
  </si>
  <si>
    <t>OXXO 347</t>
  </si>
  <si>
    <t>O348</t>
  </si>
  <si>
    <t>OXXO 348</t>
  </si>
  <si>
    <t>O349</t>
  </si>
  <si>
    <t>OXXO 349</t>
  </si>
  <si>
    <t>O350</t>
  </si>
  <si>
    <t>OXXO 350</t>
  </si>
  <si>
    <t>O357</t>
  </si>
  <si>
    <t>OXXO 357</t>
  </si>
  <si>
    <t>O358</t>
  </si>
  <si>
    <t>OXXO 358</t>
  </si>
  <si>
    <t>O359</t>
  </si>
  <si>
    <t>OXXO 359</t>
  </si>
  <si>
    <t>O360</t>
  </si>
  <si>
    <t>OXXO 360</t>
  </si>
  <si>
    <t>O361</t>
  </si>
  <si>
    <t>OXXO 361</t>
  </si>
  <si>
    <t>O362</t>
  </si>
  <si>
    <t>OXXO 362</t>
  </si>
  <si>
    <t>O363</t>
  </si>
  <si>
    <t>OXXO 363</t>
  </si>
  <si>
    <t>O364</t>
  </si>
  <si>
    <t>OXXO 364</t>
  </si>
  <si>
    <t>O371</t>
  </si>
  <si>
    <t>OXXO 371</t>
  </si>
  <si>
    <t>O372</t>
  </si>
  <si>
    <t>OXXO 372</t>
  </si>
  <si>
    <t>O373</t>
  </si>
  <si>
    <t>OXXO 373</t>
  </si>
  <si>
    <t>O374</t>
  </si>
  <si>
    <t>OXXO 374</t>
  </si>
  <si>
    <t>O375</t>
  </si>
  <si>
    <t>OXXO 375</t>
  </si>
  <si>
    <t>O376</t>
  </si>
  <si>
    <t>OXXO 376</t>
  </si>
  <si>
    <t>O377</t>
  </si>
  <si>
    <t>OXXO 377</t>
  </si>
  <si>
    <t>O378</t>
  </si>
  <si>
    <t>OXXO 378</t>
  </si>
  <si>
    <t>O382</t>
  </si>
  <si>
    <t>OXXO 382</t>
  </si>
  <si>
    <t>O383</t>
  </si>
  <si>
    <t>OXXO 383</t>
  </si>
  <si>
    <t>O384</t>
  </si>
  <si>
    <t>OXXO 384</t>
  </si>
  <si>
    <t>O385</t>
  </si>
  <si>
    <t>OXXO 385</t>
  </si>
  <si>
    <t>O386</t>
  </si>
  <si>
    <t>OXXO 386</t>
  </si>
  <si>
    <t>O387</t>
  </si>
  <si>
    <t>OXXO 387</t>
  </si>
  <si>
    <t>O388</t>
  </si>
  <si>
    <t>OXXO 388</t>
  </si>
  <si>
    <t>O389</t>
  </si>
  <si>
    <t>OXXO 358 v2</t>
  </si>
  <si>
    <t>O390</t>
  </si>
  <si>
    <t>OXXO 359 v2</t>
  </si>
  <si>
    <t>O393</t>
  </si>
  <si>
    <t>OXXO 360 v2</t>
  </si>
  <si>
    <t>O394</t>
  </si>
  <si>
    <t>OXXO 361 v2.1</t>
  </si>
  <si>
    <t>O395</t>
  </si>
  <si>
    <t>OXXO 363 v2</t>
  </si>
  <si>
    <t>O396</t>
  </si>
  <si>
    <t>OXXO 369 v2</t>
  </si>
  <si>
    <t>O397</t>
  </si>
  <si>
    <t>OXXO 370 v2</t>
  </si>
  <si>
    <t>O398</t>
  </si>
  <si>
    <t>OXXO 375 v2</t>
  </si>
  <si>
    <t>O399</t>
  </si>
  <si>
    <t>OXXO 371 v2</t>
  </si>
  <si>
    <t>O400</t>
  </si>
  <si>
    <t>OXXO 372 v2</t>
  </si>
  <si>
    <t>32DAF</t>
  </si>
  <si>
    <t>FINZAS Y ADMON</t>
  </si>
  <si>
    <t>50O9L</t>
  </si>
  <si>
    <t>TIENDA CERRADA</t>
  </si>
  <si>
    <t>504R0</t>
  </si>
  <si>
    <t>50LPC</t>
  </si>
  <si>
    <t>50XKK</t>
  </si>
  <si>
    <t>50N5E</t>
  </si>
  <si>
    <t>50T7U</t>
  </si>
  <si>
    <t>507MW</t>
  </si>
  <si>
    <t>500YY</t>
  </si>
  <si>
    <t>50S7O</t>
  </si>
  <si>
    <t>50EGH</t>
  </si>
  <si>
    <t>504H0</t>
  </si>
  <si>
    <t>50FJU</t>
  </si>
  <si>
    <t>50NHM</t>
  </si>
  <si>
    <t>50XJ0</t>
  </si>
  <si>
    <t>50REH</t>
  </si>
  <si>
    <t>50HRU</t>
  </si>
  <si>
    <t>50D9V</t>
  </si>
  <si>
    <t>50EEM</t>
  </si>
  <si>
    <t>501BG</t>
  </si>
  <si>
    <t>507A7</t>
  </si>
  <si>
    <t>50YU4</t>
  </si>
  <si>
    <t>50UTF</t>
  </si>
  <si>
    <t>502LC</t>
  </si>
  <si>
    <t>50N67</t>
  </si>
  <si>
    <t>50IVU</t>
  </si>
  <si>
    <t>50XVP</t>
  </si>
  <si>
    <t>50YP1</t>
  </si>
  <si>
    <t>50FF6</t>
  </si>
  <si>
    <t>50D5G</t>
  </si>
  <si>
    <t>50X9Z</t>
  </si>
  <si>
    <t>50FGB</t>
  </si>
  <si>
    <t>50IA8</t>
  </si>
  <si>
    <t>508M3</t>
  </si>
  <si>
    <t>50BIF</t>
  </si>
  <si>
    <t>50YT4</t>
  </si>
  <si>
    <t>38LCS</t>
  </si>
  <si>
    <t>GASTOS GENERALES MEXICO</t>
  </si>
  <si>
    <t>39PCL</t>
  </si>
  <si>
    <t>42EXO</t>
  </si>
  <si>
    <t>EXCELENCIA DE NEGOCIO</t>
  </si>
  <si>
    <t>50A45</t>
  </si>
  <si>
    <t>METRO MONSEÑOR EYZAGUIRRE</t>
  </si>
  <si>
    <t>#2F2F85</t>
  </si>
  <si>
    <t>50WMJ</t>
  </si>
  <si>
    <t>LAS PATAGUAS</t>
  </si>
  <si>
    <t>50TSF</t>
  </si>
  <si>
    <t>METRO IRARRAZAVAL 2</t>
  </si>
  <si>
    <t>CAJERO PT 15 NOCTURNO</t>
  </si>
  <si>
    <t>CAJERO PT 20 NOCTURNO</t>
  </si>
  <si>
    <t>CAJERO PT 25 NOCTURNO</t>
  </si>
  <si>
    <t>CAJERO PT  30</t>
  </si>
  <si>
    <t xml:space="preserve">CAJERO ZONAL </t>
  </si>
  <si>
    <t xml:space="preserve"> </t>
  </si>
  <si>
    <t>NOMBRE COMPLETO</t>
  </si>
  <si>
    <t>Identificador</t>
  </si>
  <si>
    <t>Grupo</t>
  </si>
  <si>
    <t>AGRUPA CARGO</t>
  </si>
  <si>
    <t>ART 22</t>
  </si>
  <si>
    <t>INCLS</t>
  </si>
  <si>
    <t>FTE INCLS</t>
  </si>
  <si>
    <t xml:space="preserve">Miguelina Altagracia Henriquez Henriquez </t>
  </si>
  <si>
    <t>23.414.177-5</t>
  </si>
  <si>
    <t>APOQUINDO SANTA MAGDALENA</t>
  </si>
  <si>
    <t>Lunes a Sábado</t>
  </si>
  <si>
    <t>Alexis Jesus  mora nuñez</t>
  </si>
  <si>
    <t>26.952.830-3</t>
  </si>
  <si>
    <t>MARITZA FABIOLA SALAZAR WATKINS</t>
  </si>
  <si>
    <t>13.065.248-4</t>
  </si>
  <si>
    <t>Juan luis Belmar canales</t>
  </si>
  <si>
    <t>22.096.441-8</t>
  </si>
  <si>
    <t>SEBASTIAN ANDRES MONSALVEZ MONSALVEZ</t>
  </si>
  <si>
    <t>16.648.330-1</t>
  </si>
  <si>
    <t>ELIODORO YANEZ 2</t>
  </si>
  <si>
    <t>Artículo 22</t>
  </si>
  <si>
    <t>Valentina sofia Muñoz guajardo</t>
  </si>
  <si>
    <t>18.209.950-3</t>
  </si>
  <si>
    <t>LORENA  ISABEL PINEDA</t>
  </si>
  <si>
    <t>28.214.037-3</t>
  </si>
  <si>
    <t>MARYCARMEN MUÑOZ LEYTON</t>
  </si>
  <si>
    <t>12.611.038-3</t>
  </si>
  <si>
    <t>JORGE MATTE</t>
  </si>
  <si>
    <t>Cristian alejandro Olivares bravo</t>
  </si>
  <si>
    <t>17.579.358-5</t>
  </si>
  <si>
    <t>PAMELA RAQUEL RUIZ GONZALEZ</t>
  </si>
  <si>
    <t>12.155.261-2</t>
  </si>
  <si>
    <t>DAPHNE RENETTA DEL CARMEN AGUILAR GUTIERREZ</t>
  </si>
  <si>
    <t>28.328.933-8</t>
  </si>
  <si>
    <t>CINTHIA NICOL AGURTO POZO</t>
  </si>
  <si>
    <t>16.931.687-2</t>
  </si>
  <si>
    <t>CARLOS ALBERTO ESPINOZA CACERES</t>
  </si>
  <si>
    <t>13.916.451-2</t>
  </si>
  <si>
    <t>MARIA ALICIA BARRERA MARTINEZ</t>
  </si>
  <si>
    <t>20.237.553-7</t>
  </si>
  <si>
    <t>Metro Gruta de Lourdes</t>
  </si>
  <si>
    <t>Danitza de Jesús Calderón  Zulueta</t>
  </si>
  <si>
    <t>28.181.706-K</t>
  </si>
  <si>
    <t>METRO HOSPITAL EL PINO</t>
  </si>
  <si>
    <t>Gabriel antonio Destefano yermani</t>
  </si>
  <si>
    <t>15.905.637-6</t>
  </si>
  <si>
    <t>HECTOR ANTONIO SOTOMAYOR SOTO</t>
  </si>
  <si>
    <t>19.165.363-7</t>
  </si>
  <si>
    <t>JUAN JOSE GARCIA	ALBORNOZ</t>
  </si>
  <si>
    <t>27.140.688-6</t>
  </si>
  <si>
    <t>OKM MANQUEHUE SUR</t>
  </si>
  <si>
    <t>SEBASTIAN ALEJANDRO TAHA HINOJOSA</t>
  </si>
  <si>
    <t>13.477.132-1</t>
  </si>
  <si>
    <t>DAHYANA SKARLET FIGUEROA LOPEZ</t>
  </si>
  <si>
    <t>16.775.904-1</t>
  </si>
  <si>
    <t>OKM VIÑA DEL MAR</t>
  </si>
  <si>
    <t>NICOLAS BENJAMIN ANDRE MIRANDA MORAGA</t>
  </si>
  <si>
    <t>21.494.979-2</t>
  </si>
  <si>
    <t>OXXO Mall Paseo Viña</t>
  </si>
  <si>
    <t>Nicolas felipe Timmermann araya</t>
  </si>
  <si>
    <t>15.379.247-K</t>
  </si>
  <si>
    <t>LUIS FERNANDO PUGA CORTES</t>
  </si>
  <si>
    <t>12.642.192-3</t>
  </si>
  <si>
    <t>PLAZA EGANA</t>
  </si>
  <si>
    <t>MONICA DE LAS MERCEDES SEGUEL	VERA</t>
  </si>
  <si>
    <t>08.037.223-K</t>
  </si>
  <si>
    <t>DANIEL ANTONIO PEREZ RIVAS</t>
  </si>
  <si>
    <t>13.972.152-7</t>
  </si>
  <si>
    <t>PLAZA SOTOMAYOR VALPARAISO</t>
  </si>
  <si>
    <t>INES DEL PILAR ALLEN CUITIÑO</t>
  </si>
  <si>
    <t>09.124.190-0</t>
  </si>
  <si>
    <t>URZULA JOANNA CAMPOS ORTIZ</t>
  </si>
  <si>
    <t>10.072.057-4</t>
  </si>
  <si>
    <t>JUANA ISABEL VARELA BRAVO</t>
  </si>
  <si>
    <t>16.298.921-9</t>
  </si>
  <si>
    <t>CLAUDIA NICOL GALLARDO GOMEZ</t>
  </si>
  <si>
    <t>17.319.758-6</t>
  </si>
  <si>
    <t>RAUL ALEJANDRO HERRERA MORALES</t>
  </si>
  <si>
    <t>15.498.098-9</t>
  </si>
  <si>
    <t>NATALY IRENE CRUZ SARAVIA</t>
  </si>
  <si>
    <t>16.646.537-0</t>
  </si>
  <si>
    <t>FUERO MATERNAL</t>
  </si>
  <si>
    <t>BRAVO TORO CRISTIAN</t>
  </si>
  <si>
    <t>16.239.582-3</t>
  </si>
  <si>
    <t>OKM- QUINCHAMALI-CLP</t>
  </si>
  <si>
    <t>Se deja en 0 debido a que no cumple todos los turnos, es de Quinchamalí y ahora está en Los Trapenses (correo Ariel 01-12-2025)</t>
  </si>
  <si>
    <t>AGRUPA CARGO_3</t>
  </si>
  <si>
    <t>AGRUPA CARGO_4</t>
  </si>
  <si>
    <t>IMM</t>
  </si>
  <si>
    <t>PT 15</t>
  </si>
  <si>
    <t>PT 20</t>
  </si>
  <si>
    <t>PT 25</t>
  </si>
  <si>
    <t>PT 30</t>
  </si>
  <si>
    <t>CAJERO PART TIME 30 HORAS</t>
  </si>
  <si>
    <t>CAJERO PART TIME 25 HORAS INTERMEDIO</t>
  </si>
  <si>
    <t>CAJERO PART TIME 25 HORAS AM</t>
  </si>
  <si>
    <t>CAJERO PART TIME 25 HORAS PM</t>
  </si>
  <si>
    <t>CAJERO PART TIME 20 HORAS</t>
  </si>
  <si>
    <t>Cajero Uber Eats</t>
  </si>
  <si>
    <t>Cajero PT 30 hrs</t>
  </si>
  <si>
    <t>CAJERO PART TIME 25</t>
  </si>
  <si>
    <t>CAJERO POLIFUNICIONAL</t>
  </si>
  <si>
    <t>JEFE SALA NOCTURNO</t>
  </si>
  <si>
    <t>CAJERO POLIFUNCIONAL  NOCTURNO</t>
  </si>
  <si>
    <t>HRS</t>
  </si>
  <si>
    <t xml:space="preserve">CAJERO </t>
  </si>
  <si>
    <t>CAJERO PART TIME 25 hrs</t>
  </si>
  <si>
    <t>CAJERO PART TIME 15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</si>
</sst>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40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.75"/>
      <color indexed="8"/>
      <name val="&quot;Trebuchet MS&quot;"/>
    </font>
    <font>
      <b/>
      <sz val="8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name val="Arial"/>
      <family val="2"/>
    </font>
    <font>
      <sz val="10"/>
      <color theme="1"/>
      <name val="Arial Unicode MS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9"/>
      <color rgb="FF000000"/>
      <name val="Aptos Display"/>
      <family val="2"/>
      <scheme val="major"/>
    </font>
    <font>
      <sz val="11"/>
      <color theme="1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BA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 style="thin">
        <color theme="4" tint="0.39997558519241921"/>
      </left>
      <right/>
      <top style="thin">
        <color rgb="FF8ED973"/>
      </top>
      <bottom style="thin">
        <color rgb="FF8ED973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52">
    <xf numFmtId="0" fontId="0" fillId="0" borderId="0"/>
    <xf numFmtId="0" fontId="1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11" applyNumberFormat="0" applyAlignment="0" applyProtection="0"/>
    <xf numFmtId="0" fontId="19" fillId="11" borderId="12" applyNumberFormat="0" applyAlignment="0" applyProtection="0"/>
    <xf numFmtId="0" fontId="20" fillId="11" borderId="11" applyNumberFormat="0" applyAlignment="0" applyProtection="0"/>
    <xf numFmtId="0" fontId="21" fillId="0" borderId="13" applyNumberFormat="0" applyFill="0" applyAlignment="0" applyProtection="0"/>
    <xf numFmtId="0" fontId="22" fillId="12" borderId="14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" fillId="0" borderId="16" applyNumberFormat="0" applyFill="0" applyAlignment="0" applyProtection="0"/>
    <xf numFmtId="0" fontId="25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25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5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5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5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5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26" fillId="0" borderId="0"/>
    <xf numFmtId="0" fontId="26" fillId="0" borderId="0"/>
    <xf numFmtId="41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0" fillId="0" borderId="0"/>
    <xf numFmtId="0" fontId="10" fillId="13" borderId="15" applyNumberFormat="0" applyFont="0" applyAlignment="0" applyProtection="0"/>
    <xf numFmtId="0" fontId="31" fillId="0" borderId="0" applyNumberFormat="0" applyFill="0" applyBorder="0" applyAlignment="0" applyProtection="0"/>
    <xf numFmtId="41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4" borderId="7" xfId="0" applyFill="1" applyBorder="1"/>
    <xf numFmtId="0" fontId="8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0" fontId="26" fillId="43" borderId="5" xfId="41" applyFill="1" applyBorder="1" applyAlignment="1">
      <alignment vertical="center"/>
    </xf>
    <xf numFmtId="0" fontId="26" fillId="38" borderId="1" xfId="41" applyFill="1" applyBorder="1" applyAlignment="1">
      <alignment horizontal="center" vertical="center"/>
    </xf>
    <xf numFmtId="0" fontId="27" fillId="38" borderId="1" xfId="41" applyFont="1" applyFill="1" applyBorder="1" applyAlignment="1">
      <alignment horizontal="center" vertical="center"/>
    </xf>
    <xf numFmtId="0" fontId="30" fillId="42" borderId="1" xfId="41" applyFont="1" applyFill="1" applyBorder="1" applyAlignment="1">
      <alignment horizontal="center" vertical="center"/>
    </xf>
    <xf numFmtId="0" fontId="26" fillId="43" borderId="18" xfId="41" applyFill="1" applyBorder="1" applyAlignment="1">
      <alignment vertical="center"/>
    </xf>
    <xf numFmtId="0" fontId="26" fillId="43" borderId="17" xfId="41" applyFill="1" applyBorder="1" applyAlignment="1">
      <alignment vertical="center"/>
    </xf>
    <xf numFmtId="0" fontId="26" fillId="39" borderId="1" xfId="41" applyFill="1" applyBorder="1" applyAlignment="1">
      <alignment horizontal="center" vertical="center"/>
    </xf>
    <xf numFmtId="0" fontId="28" fillId="0" borderId="1" xfId="41" applyFont="1" applyBorder="1" applyAlignment="1">
      <alignment horizontal="center" vertical="center"/>
    </xf>
    <xf numFmtId="0" fontId="26" fillId="40" borderId="1" xfId="41" applyFill="1" applyBorder="1" applyAlignment="1">
      <alignment horizontal="center" vertical="center"/>
    </xf>
    <xf numFmtId="0" fontId="29" fillId="39" borderId="1" xfId="41" applyFont="1" applyFill="1" applyBorder="1" applyAlignment="1">
      <alignment horizontal="center" vertical="center"/>
    </xf>
    <xf numFmtId="0" fontId="26" fillId="5" borderId="1" xfId="41" applyFill="1" applyBorder="1" applyAlignment="1">
      <alignment horizontal="center" vertical="center"/>
    </xf>
    <xf numFmtId="0" fontId="26" fillId="41" borderId="1" xfId="41" applyFill="1" applyBorder="1" applyAlignment="1">
      <alignment horizontal="center" vertical="center"/>
    </xf>
    <xf numFmtId="0" fontId="2" fillId="0" borderId="0" xfId="41" applyFont="1" applyAlignment="1">
      <alignment horizontal="center" vertical="center"/>
    </xf>
    <xf numFmtId="0" fontId="26" fillId="5" borderId="5" xfId="41" applyFill="1" applyBorder="1" applyAlignment="1">
      <alignment horizontal="center" vertical="center"/>
    </xf>
    <xf numFmtId="0" fontId="26" fillId="41" borderId="5" xfId="41" applyFill="1" applyBorder="1" applyAlignment="1">
      <alignment horizontal="center" vertical="center"/>
    </xf>
    <xf numFmtId="0" fontId="26" fillId="40" borderId="5" xfId="41" applyFill="1" applyBorder="1" applyAlignment="1">
      <alignment horizontal="center" vertical="center"/>
    </xf>
    <xf numFmtId="0" fontId="0" fillId="39" borderId="1" xfId="0" applyFill="1" applyBorder="1" applyAlignment="1">
      <alignment horizont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3" fontId="6" fillId="0" borderId="19" xfId="0" applyNumberFormat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/>
    </xf>
    <xf numFmtId="3" fontId="6" fillId="0" borderId="22" xfId="0" applyNumberFormat="1" applyFont="1" applyBorder="1" applyAlignment="1">
      <alignment horizontal="center" vertical="center"/>
    </xf>
    <xf numFmtId="3" fontId="6" fillId="0" borderId="2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1" fillId="5" borderId="28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0" fillId="44" borderId="1" xfId="0" applyFill="1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4" fillId="0" borderId="26" xfId="0" applyFont="1" applyBorder="1"/>
    <xf numFmtId="0" fontId="4" fillId="0" borderId="30" xfId="0" applyFont="1" applyBorder="1"/>
    <xf numFmtId="0" fontId="0" fillId="0" borderId="17" xfId="0" applyBorder="1"/>
    <xf numFmtId="0" fontId="2" fillId="2" borderId="1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2" fillId="0" borderId="32" xfId="0" applyFont="1" applyBorder="1" applyAlignment="1">
      <alignment horizontal="center"/>
    </xf>
    <xf numFmtId="0" fontId="32" fillId="0" borderId="33" xfId="0" applyFont="1" applyBorder="1" applyAlignment="1">
      <alignment horizontal="center"/>
    </xf>
    <xf numFmtId="0" fontId="32" fillId="0" borderId="34" xfId="0" applyFont="1" applyBorder="1" applyAlignment="1">
      <alignment horizontal="center"/>
    </xf>
    <xf numFmtId="0" fontId="0" fillId="0" borderId="18" xfId="0" applyBorder="1"/>
    <xf numFmtId="0" fontId="33" fillId="0" borderId="1" xfId="0" applyFont="1" applyBorder="1"/>
    <xf numFmtId="0" fontId="26" fillId="0" borderId="1" xfId="0" applyFont="1" applyBorder="1" applyAlignment="1">
      <alignment horizontal="center" vertical="center"/>
    </xf>
    <xf numFmtId="0" fontId="0" fillId="0" borderId="5" xfId="0" applyBorder="1"/>
    <xf numFmtId="0" fontId="1" fillId="45" borderId="1" xfId="0" applyFont="1" applyFill="1" applyBorder="1" applyAlignment="1">
      <alignment horizontal="center" vertical="center"/>
    </xf>
    <xf numFmtId="0" fontId="4" fillId="0" borderId="0" xfId="0" applyFont="1"/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40" xfId="0" applyFill="1" applyBorder="1"/>
    <xf numFmtId="2" fontId="0" fillId="0" borderId="26" xfId="0" applyNumberFormat="1" applyBorder="1"/>
    <xf numFmtId="2" fontId="0" fillId="0" borderId="30" xfId="0" applyNumberFormat="1" applyBorder="1"/>
    <xf numFmtId="2" fontId="0" fillId="0" borderId="35" xfId="0" applyNumberFormat="1" applyBorder="1"/>
    <xf numFmtId="0" fontId="2" fillId="2" borderId="1" xfId="0" applyFont="1" applyFill="1" applyBorder="1" applyAlignment="1">
      <alignment horizontal="center"/>
    </xf>
    <xf numFmtId="2" fontId="0" fillId="4" borderId="1" xfId="0" applyNumberFormat="1" applyFill="1" applyBorder="1"/>
    <xf numFmtId="2" fontId="0" fillId="0" borderId="1" xfId="0" applyNumberFormat="1" applyBorder="1"/>
    <xf numFmtId="0" fontId="0" fillId="4" borderId="1" xfId="0" applyFill="1" applyBorder="1"/>
    <xf numFmtId="0" fontId="0" fillId="4" borderId="38" xfId="0" applyFill="1" applyBorder="1"/>
    <xf numFmtId="0" fontId="0" fillId="4" borderId="39" xfId="0" applyFill="1" applyBorder="1" applyAlignment="1">
      <alignment horizontal="center"/>
    </xf>
    <xf numFmtId="0" fontId="4" fillId="0" borderId="1" xfId="0" applyFont="1" applyBorder="1"/>
    <xf numFmtId="0" fontId="0" fillId="46" borderId="39" xfId="0" applyFill="1" applyBorder="1"/>
    <xf numFmtId="0" fontId="0" fillId="46" borderId="1" xfId="0" applyFill="1" applyBorder="1"/>
    <xf numFmtId="0" fontId="34" fillId="0" borderId="1" xfId="0" applyFont="1" applyBorder="1"/>
    <xf numFmtId="0" fontId="2" fillId="2" borderId="0" xfId="0" applyFont="1" applyFill="1" applyAlignment="1">
      <alignment horizontal="center"/>
    </xf>
    <xf numFmtId="41" fontId="0" fillId="0" borderId="0" xfId="51" applyFont="1"/>
    <xf numFmtId="41" fontId="0" fillId="0" borderId="0" xfId="0" applyNumberFormat="1"/>
    <xf numFmtId="49" fontId="3" fillId="0" borderId="1" xfId="0" applyNumberFormat="1" applyFont="1" applyBorder="1" applyAlignment="1">
      <alignment horizontal="center" vertical="top"/>
    </xf>
    <xf numFmtId="49" fontId="7" fillId="0" borderId="6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34" fillId="0" borderId="1" xfId="0" applyFont="1" applyBorder="1" applyAlignment="1">
      <alignment horizontal="left"/>
    </xf>
    <xf numFmtId="0" fontId="0" fillId="0" borderId="38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38" xfId="0" applyBorder="1" applyAlignment="1">
      <alignment horizontal="left" vertical="top"/>
    </xf>
    <xf numFmtId="0" fontId="0" fillId="0" borderId="37" xfId="0" applyBorder="1" applyAlignment="1">
      <alignment horizontal="left"/>
    </xf>
    <xf numFmtId="0" fontId="0" fillId="0" borderId="39" xfId="0" applyBorder="1" applyAlignment="1">
      <alignment horizontal="center"/>
    </xf>
    <xf numFmtId="0" fontId="0" fillId="47" borderId="1" xfId="0" applyFill="1" applyBorder="1" applyAlignment="1">
      <alignment horizontal="left"/>
    </xf>
    <xf numFmtId="0" fontId="0" fillId="47" borderId="1" xfId="0" applyFill="1" applyBorder="1" applyAlignment="1">
      <alignment horizontal="center"/>
    </xf>
    <xf numFmtId="0" fontId="4" fillId="0" borderId="4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7" fillId="48" borderId="1" xfId="0" applyFont="1" applyFill="1" applyBorder="1" applyAlignment="1">
      <alignment horizontal="left"/>
    </xf>
    <xf numFmtId="0" fontId="27" fillId="48" borderId="1" xfId="0" applyFont="1" applyFill="1" applyBorder="1" applyAlignment="1">
      <alignment horizontal="center"/>
    </xf>
    <xf numFmtId="0" fontId="0" fillId="47" borderId="39" xfId="0" applyFill="1" applyBorder="1" applyAlignment="1">
      <alignment horizontal="left"/>
    </xf>
    <xf numFmtId="0" fontId="0" fillId="39" borderId="0" xfId="0" applyFill="1"/>
    <xf numFmtId="2" fontId="0" fillId="0" borderId="27" xfId="0" applyNumberFormat="1" applyBorder="1"/>
    <xf numFmtId="0" fontId="36" fillId="0" borderId="0" xfId="0" applyFont="1" applyAlignment="1">
      <alignment horizontal="left"/>
    </xf>
    <xf numFmtId="0" fontId="36" fillId="0" borderId="42" xfId="0" applyFont="1" applyBorder="1" applyAlignment="1">
      <alignment horizontal="left"/>
    </xf>
    <xf numFmtId="0" fontId="0" fillId="0" borderId="42" xfId="0" applyBorder="1"/>
    <xf numFmtId="0" fontId="39" fillId="0" borderId="42" xfId="0" applyFont="1" applyBorder="1"/>
    <xf numFmtId="0" fontId="38" fillId="0" borderId="1" xfId="0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6" fillId="0" borderId="38" xfId="0" applyFont="1" applyBorder="1" applyAlignment="1">
      <alignment horizontal="left"/>
    </xf>
    <xf numFmtId="0" fontId="36" fillId="0" borderId="40" xfId="0" applyFont="1" applyBorder="1" applyAlignment="1">
      <alignment horizontal="left"/>
    </xf>
    <xf numFmtId="0" fontId="36" fillId="0" borderId="39" xfId="0" applyFont="1" applyBorder="1" applyAlignment="1">
      <alignment horizontal="left"/>
    </xf>
    <xf numFmtId="0" fontId="0" fillId="0" borderId="5" xfId="0" applyBorder="1" applyAlignment="1">
      <alignment vertical="top"/>
    </xf>
    <xf numFmtId="0" fontId="4" fillId="0" borderId="5" xfId="0" applyFont="1" applyBorder="1"/>
    <xf numFmtId="0" fontId="34" fillId="0" borderId="36" xfId="0" applyFont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52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Hyperlink" xfId="47" xr:uid="{95311F36-C0BB-450B-9952-8E20E20E1ABA}"/>
    <cellStyle name="Incorrecto" xfId="7" builtinId="27" customBuiltin="1"/>
    <cellStyle name="Millares [0]" xfId="51" builtinId="6"/>
    <cellStyle name="Millares [0] 2" xfId="48" xr:uid="{89B69244-9A9D-444F-B994-8AEF1784B5A1}"/>
    <cellStyle name="Millares [0] 3" xfId="43" xr:uid="{F57DB14A-CACA-4497-A2A8-907935902A48}"/>
    <cellStyle name="Moneda [0] 2" xfId="49" xr:uid="{E4C1CACB-F95F-44A1-88C8-D4562F3B9D6A}"/>
    <cellStyle name="Neutral" xfId="8" builtinId="28" customBuiltin="1"/>
    <cellStyle name="Normal" xfId="0" builtinId="0"/>
    <cellStyle name="Normal 2" xfId="42" xr:uid="{E856F4FD-A6ED-4D50-8608-D9A08097FE28}"/>
    <cellStyle name="Normal 3" xfId="45" xr:uid="{DB3C22B4-CD1F-4214-9125-E8A018E5C82C}"/>
    <cellStyle name="Normal 4" xfId="41" xr:uid="{03E88648-F367-471B-A42A-5C91131A0C99}"/>
    <cellStyle name="Notas 2" xfId="46" xr:uid="{DB49C9E5-53A1-4AD3-8E20-2A583A9D1D75}"/>
    <cellStyle name="Porcentaje 2" xfId="50" xr:uid="{51FB55D2-C5BB-4E34-9BE4-20C409CD8556}"/>
    <cellStyle name="Porcentaje 3" xfId="44" xr:uid="{69824EE5-54E3-4DE5-B09C-F02BF074538A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rgb="FFFFC7CE"/>
          <bgColor rgb="FF000000"/>
        </patternFill>
      </fill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FA0E7C-ABCE-4C75-8991-B0C77223B0BC}" name="AGRUPA_PERMISO" displayName="AGRUPA_PERMISO" ref="O77:P138" totalsRowCount="1" headerRowDxfId="28" headerRowBorderDxfId="27" tableBorderDxfId="26">
  <autoFilter ref="O77:P137" xr:uid="{14FA0E7C-ABCE-4C75-8991-B0C77223B0BC}">
    <filterColumn colId="1">
      <filters>
        <filter val="LICENCIA"/>
      </filters>
    </filterColumn>
  </autoFilter>
  <tableColumns count="2">
    <tableColumn id="1" xr3:uid="{27CE763C-CCC9-4FB6-BA25-A5CB7461B3E2}" name="CONCEPTO" totalsRowLabel="Horario Libre" dataDxfId="25" totalsRowDxfId="24"/>
    <tableColumn id="2" xr3:uid="{F5F14704-692B-40CC-828E-CFE79F5FF8EC}" name="AGRUPADOR" totalsRowLabel="OTRO" dataDxfId="23" totalsRow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411DE-5C5D-4800-86E2-9B8FF77D3EC3}" name="AGRUPA_CARGO" displayName="AGRUPA_CARGO" ref="O5:T69" totalsRowCount="1" headerRowDxfId="21" headerRowBorderDxfId="20" tableBorderDxfId="19" totalsRowBorderDxfId="18">
  <autoFilter ref="O5:T68" xr:uid="{28D411DE-5C5D-4800-86E2-9B8FF77D3EC3}"/>
  <tableColumns count="6">
    <tableColumn id="1" xr3:uid="{C5F3B8FD-50C4-4E24-895D-225FC2D1C4FE}" name="CARGO" dataDxfId="17"/>
    <tableColumn id="2" xr3:uid="{32CF504F-FB91-47AF-B423-4A712F143BB5}" name="AGRUPADOR" dataDxfId="16" totalsRowDxfId="15"/>
    <tableColumn id="5" xr3:uid="{A7057CF4-13CB-49D2-94F9-FB368DE5B755}" name="AGRUPA CARGO_2" dataDxfId="14" totalsRowDxfId="13"/>
    <tableColumn id="3" xr3:uid="{0A42B1DA-DB13-4A5A-84EC-FFE20F286502}" name="AGRUPADOR_1" dataDxfId="12" totalsRowDxfId="11"/>
    <tableColumn id="6" xr3:uid="{A97E141A-19D9-4A61-8FC3-37344D6CD728}" name="FTE TEORICO2" dataDxfId="10" totalsRowDxfId="9"/>
    <tableColumn id="4" xr3:uid="{4399A113-B262-4424-B511-B304C86DF113}" name="HRS CONTRATO" dataDxfId="8" totalsRowDxfId="7">
      <calculatedColumnFormula>ROUND((AGRUPA_CARGO[[#This Row],[FTE TEORICO2]]*44),0)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1272B3-B65E-46AE-AA08-000666D81D99}" name="Tabla3" displayName="Tabla3" ref="A1:C69" totalsRowShown="0">
  <autoFilter ref="A1:C69" xr:uid="{A8A5DFDF-2A05-45D5-96EA-8A5996CD72FB}"/>
  <sortState xmlns:xlrd2="http://schemas.microsoft.com/office/spreadsheetml/2017/richdata2" ref="A2:C69">
    <sortCondition sortBy="cellColor" ref="A1:A69" dxfId="6"/>
  </sortState>
  <tableColumns count="3">
    <tableColumn id="1" xr3:uid="{B1A395AC-CE07-477A-B833-253DA55D172D}" name="CARGO" dataDxfId="5"/>
    <tableColumn id="2" xr3:uid="{B525F099-A65B-4BFD-A5E3-07E227BD46CD}" name="AGRUPADOR" dataDxfId="4">
      <calculatedColumnFormula>VLOOKUP(A2,AGRUPA_CARGO[[#Headers],[#Data],[CARGO]:[AGRUPADOR]],2,0)</calculatedColumnFormula>
    </tableColumn>
    <tableColumn id="3" xr3:uid="{A8F42036-9DB9-4626-8FA5-FF0CE5F971FE}" name="H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745A-3F07-43D9-AF61-916C48CED090}">
  <sheetPr codeName="Hoja1"/>
  <dimension ref="B2:AM760"/>
  <sheetViews>
    <sheetView tabSelected="1" topLeftCell="B57" zoomScale="70" zoomScaleNormal="70" workbookViewId="0">
      <selection activeCell="O6" sqref="O6:O68"/>
    </sheetView>
  </sheetViews>
  <sheetFormatPr baseColWidth="10" defaultColWidth="11.42578125" defaultRowHeight="15" customHeight="1"/>
  <cols>
    <col min="2" max="2" width="24.42578125" bestFit="1" customWidth="1"/>
    <col min="3" max="4" width="35.28515625" bestFit="1" customWidth="1"/>
    <col min="5" max="5" width="29.5703125" bestFit="1" customWidth="1"/>
    <col min="6" max="6" width="15.85546875" customWidth="1"/>
    <col min="8" max="8" width="24.85546875" customWidth="1"/>
    <col min="9" max="9" width="24.28515625" bestFit="1" customWidth="1"/>
    <col min="10" max="11" width="35.42578125" customWidth="1"/>
    <col min="12" max="12" width="18.85546875" bestFit="1" customWidth="1"/>
    <col min="15" max="15" width="37.42578125" bestFit="1" customWidth="1"/>
    <col min="16" max="16" width="29.42578125" bestFit="1" customWidth="1"/>
    <col min="17" max="17" width="29.42578125" customWidth="1"/>
    <col min="18" max="18" width="30.5703125" bestFit="1" customWidth="1"/>
    <col min="19" max="19" width="17.5703125" customWidth="1"/>
    <col min="22" max="22" width="20.42578125" customWidth="1"/>
    <col min="23" max="23" width="13.7109375" customWidth="1"/>
    <col min="24" max="24" width="19.5703125" customWidth="1"/>
    <col min="25" max="25" width="17.5703125" customWidth="1"/>
    <col min="26" max="29" width="15.5703125" customWidth="1"/>
    <col min="30" max="30" width="12.85546875" customWidth="1"/>
    <col min="31" max="31" width="13.7109375" customWidth="1"/>
    <col min="32" max="32" width="10.42578125" customWidth="1"/>
    <col min="33" max="33" width="11.85546875" customWidth="1"/>
    <col min="34" max="34" width="14" customWidth="1"/>
    <col min="36" max="36" width="38.28515625" customWidth="1"/>
  </cols>
  <sheetData>
    <row r="2" spans="2:39" ht="15.75" thickBot="1">
      <c r="P2" t="s">
        <v>0</v>
      </c>
    </row>
    <row r="3" spans="2:39">
      <c r="I3" s="87"/>
      <c r="O3" t="s">
        <v>1</v>
      </c>
      <c r="P3">
        <f>44/44</f>
        <v>1</v>
      </c>
      <c r="S3" t="s">
        <v>2</v>
      </c>
      <c r="AD3" s="120" t="s">
        <v>3</v>
      </c>
      <c r="AE3" s="121"/>
      <c r="AF3" s="122"/>
      <c r="AG3" s="123" t="s">
        <v>4</v>
      </c>
      <c r="AH3" s="124"/>
      <c r="AI3" s="125"/>
      <c r="AM3" t="e">
        <f>VLOOKUP(AL3,AGRUPA_PERMISO[#All],2,0)</f>
        <v>#N/A</v>
      </c>
    </row>
    <row r="4" spans="2:39" ht="26.1" customHeight="1">
      <c r="V4" s="15" t="s">
        <v>5</v>
      </c>
      <c r="W4" s="15" t="s">
        <v>6</v>
      </c>
      <c r="X4" s="15" t="s">
        <v>7</v>
      </c>
      <c r="Y4" s="15" t="s">
        <v>8</v>
      </c>
      <c r="Z4" s="15" t="s">
        <v>9</v>
      </c>
      <c r="AA4" s="35" t="s">
        <v>10</v>
      </c>
      <c r="AB4" s="9" t="s">
        <v>11</v>
      </c>
      <c r="AC4" s="36" t="s">
        <v>12</v>
      </c>
      <c r="AD4" s="14" t="s">
        <v>13</v>
      </c>
      <c r="AE4" s="14" t="s">
        <v>11</v>
      </c>
      <c r="AF4" s="14" t="s">
        <v>14</v>
      </c>
      <c r="AG4" s="9" t="s">
        <v>13</v>
      </c>
      <c r="AH4" s="9" t="s">
        <v>11</v>
      </c>
      <c r="AI4" s="9" t="s">
        <v>14</v>
      </c>
      <c r="AJ4" s="8" t="s">
        <v>15</v>
      </c>
    </row>
    <row r="5" spans="2:39"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1"/>
      <c r="H5" s="2" t="s">
        <v>21</v>
      </c>
      <c r="I5" s="2" t="s">
        <v>22</v>
      </c>
      <c r="J5" s="2" t="s">
        <v>23</v>
      </c>
      <c r="K5" s="64" t="s">
        <v>24</v>
      </c>
      <c r="L5" s="2" t="s">
        <v>25</v>
      </c>
      <c r="M5" s="1"/>
      <c r="N5" s="1"/>
      <c r="O5" s="55" t="s">
        <v>26</v>
      </c>
      <c r="P5" s="55" t="s">
        <v>27</v>
      </c>
      <c r="Q5" s="55" t="s">
        <v>28</v>
      </c>
      <c r="R5" s="55" t="s">
        <v>29</v>
      </c>
      <c r="S5" s="56" t="s">
        <v>30</v>
      </c>
      <c r="T5" s="56" t="s">
        <v>31</v>
      </c>
      <c r="W5" s="5" t="s">
        <v>32</v>
      </c>
      <c r="X5" s="5">
        <v>4</v>
      </c>
      <c r="Y5" s="5">
        <v>2</v>
      </c>
      <c r="Z5" s="5" t="s">
        <v>33</v>
      </c>
      <c r="AA5" s="5">
        <v>1</v>
      </c>
      <c r="AB5" s="37">
        <v>500800</v>
      </c>
      <c r="AC5" s="16">
        <v>642050</v>
      </c>
      <c r="AD5" s="38">
        <v>853930</v>
      </c>
      <c r="AE5" s="17">
        <v>564244</v>
      </c>
      <c r="AF5" s="17">
        <v>723390</v>
      </c>
      <c r="AG5" s="17">
        <v>962109</v>
      </c>
      <c r="AH5" s="16">
        <v>588817.29800168995</v>
      </c>
      <c r="AI5" s="16">
        <v>754893.97179703834</v>
      </c>
      <c r="AJ5" s="16">
        <v>1004008.9824900611</v>
      </c>
      <c r="AK5" s="6" t="s">
        <v>34</v>
      </c>
    </row>
    <row r="6" spans="2:39">
      <c r="B6" s="4" t="s">
        <v>35</v>
      </c>
      <c r="C6" s="4" t="s">
        <v>36</v>
      </c>
      <c r="D6" s="4" t="s">
        <v>37</v>
      </c>
      <c r="E6" s="4" t="s">
        <v>38</v>
      </c>
      <c r="F6" s="4" t="s">
        <v>37</v>
      </c>
      <c r="G6" s="1"/>
      <c r="H6" s="86" t="s">
        <v>39</v>
      </c>
      <c r="I6" s="4" t="s">
        <v>40</v>
      </c>
      <c r="J6" s="4" t="s">
        <v>41</v>
      </c>
      <c r="K6" s="4" t="s">
        <v>41</v>
      </c>
      <c r="L6" s="4" t="s">
        <v>42</v>
      </c>
      <c r="M6" s="1"/>
      <c r="N6" s="1"/>
      <c r="O6" s="6" t="s">
        <v>43</v>
      </c>
      <c r="P6" s="6" t="s">
        <v>44</v>
      </c>
      <c r="Q6" s="6" t="s">
        <v>44</v>
      </c>
      <c r="R6" s="6" t="s">
        <v>34</v>
      </c>
      <c r="S6" s="70">
        <v>1</v>
      </c>
      <c r="T6" s="106">
        <f>ROUND((AGRUPA_CARGO[[#This Row],[FTE TEORICO2]]*44),0)</f>
        <v>44</v>
      </c>
      <c r="W6" s="5" t="s">
        <v>45</v>
      </c>
      <c r="X6" s="5">
        <v>5</v>
      </c>
      <c r="Y6" s="5">
        <v>2</v>
      </c>
      <c r="Z6" s="5" t="s">
        <v>33</v>
      </c>
      <c r="AA6" s="5">
        <v>1</v>
      </c>
      <c r="AB6" s="37">
        <v>611540</v>
      </c>
      <c r="AC6" s="16">
        <v>784020</v>
      </c>
      <c r="AD6" s="38">
        <v>1042750</v>
      </c>
      <c r="AE6" s="17">
        <v>564244</v>
      </c>
      <c r="AF6" s="17">
        <v>723390</v>
      </c>
      <c r="AG6" s="17">
        <v>962109</v>
      </c>
      <c r="AH6" s="16">
        <v>696776.23575798224</v>
      </c>
      <c r="AI6" s="16">
        <v>893302.86635638739</v>
      </c>
      <c r="AJ6" s="16">
        <v>1188092.8122539953</v>
      </c>
      <c r="AK6" s="6" t="s">
        <v>34</v>
      </c>
    </row>
    <row r="7" spans="2:39">
      <c r="B7" s="4" t="s">
        <v>46</v>
      </c>
      <c r="C7" s="4" t="s">
        <v>47</v>
      </c>
      <c r="D7" s="4" t="s">
        <v>47</v>
      </c>
      <c r="E7" s="4" t="s">
        <v>38</v>
      </c>
      <c r="F7" s="4" t="s">
        <v>48</v>
      </c>
      <c r="G7" s="1"/>
      <c r="H7" s="86" t="s">
        <v>49</v>
      </c>
      <c r="I7" s="4" t="s">
        <v>50</v>
      </c>
      <c r="J7" s="4" t="s">
        <v>41</v>
      </c>
      <c r="K7" s="4" t="s">
        <v>41</v>
      </c>
      <c r="L7" s="4" t="s">
        <v>42</v>
      </c>
      <c r="M7" s="1"/>
      <c r="N7" s="1"/>
      <c r="O7" s="6" t="s">
        <v>44</v>
      </c>
      <c r="P7" s="6" t="s">
        <v>44</v>
      </c>
      <c r="Q7" s="6" t="s">
        <v>44</v>
      </c>
      <c r="R7" s="6" t="s">
        <v>34</v>
      </c>
      <c r="S7" s="70">
        <v>1</v>
      </c>
      <c r="T7" s="106">
        <f>ROUND((AGRUPA_CARGO[[#This Row],[FTE TEORICO2]]*44),0)</f>
        <v>44</v>
      </c>
      <c r="W7" s="5" t="s">
        <v>51</v>
      </c>
      <c r="X7" s="5">
        <v>6</v>
      </c>
      <c r="Y7" s="5">
        <v>2</v>
      </c>
      <c r="Z7" s="5" t="s">
        <v>33</v>
      </c>
      <c r="AA7" s="5">
        <v>1</v>
      </c>
      <c r="AB7" s="37">
        <v>743920</v>
      </c>
      <c r="AC7" s="16">
        <v>953740</v>
      </c>
      <c r="AD7" s="38">
        <v>1268470</v>
      </c>
      <c r="AE7" s="17">
        <v>564244</v>
      </c>
      <c r="AF7" s="17">
        <v>723390</v>
      </c>
      <c r="AG7" s="17">
        <v>962109</v>
      </c>
      <c r="AH7" s="16">
        <v>824529.31387160264</v>
      </c>
      <c r="AI7" s="16">
        <v>1057088.8639379521</v>
      </c>
      <c r="AJ7" s="16">
        <v>1405928.1890374764</v>
      </c>
      <c r="AK7" s="6" t="s">
        <v>34</v>
      </c>
    </row>
    <row r="8" spans="2:39">
      <c r="B8" s="4" t="s">
        <v>52</v>
      </c>
      <c r="C8" s="4" t="s">
        <v>53</v>
      </c>
      <c r="D8" s="4" t="s">
        <v>53</v>
      </c>
      <c r="E8" s="4" t="s">
        <v>38</v>
      </c>
      <c r="F8" s="4" t="s">
        <v>54</v>
      </c>
      <c r="G8" s="1"/>
      <c r="H8" s="86" t="s">
        <v>55</v>
      </c>
      <c r="I8" s="4" t="s">
        <v>56</v>
      </c>
      <c r="J8" s="4" t="s">
        <v>56</v>
      </c>
      <c r="K8" s="4" t="s">
        <v>56</v>
      </c>
      <c r="L8" s="4" t="s">
        <v>42</v>
      </c>
      <c r="M8" s="1"/>
      <c r="N8" s="1"/>
      <c r="O8" s="6" t="s">
        <v>57</v>
      </c>
      <c r="P8" s="49" t="s">
        <v>58</v>
      </c>
      <c r="Q8" s="49" t="s">
        <v>58</v>
      </c>
      <c r="R8" s="6" t="s">
        <v>34</v>
      </c>
      <c r="S8" s="70">
        <v>0.45</v>
      </c>
      <c r="T8" s="106">
        <f>ROUND((AGRUPA_CARGO[[#This Row],[FTE TEORICO2]]*44),0)</f>
        <v>20</v>
      </c>
      <c r="W8" s="5" t="s">
        <v>59</v>
      </c>
      <c r="X8" s="5">
        <v>7</v>
      </c>
      <c r="Y8" s="5">
        <v>2</v>
      </c>
      <c r="Z8" s="5" t="s">
        <v>33</v>
      </c>
      <c r="AA8" s="5">
        <v>1</v>
      </c>
      <c r="AB8" s="37">
        <v>901880</v>
      </c>
      <c r="AC8" s="16">
        <v>1156250</v>
      </c>
      <c r="AD8" s="38">
        <v>1537810</v>
      </c>
      <c r="AE8" s="17">
        <v>564244</v>
      </c>
      <c r="AF8" s="17">
        <v>723390</v>
      </c>
      <c r="AG8" s="17">
        <v>962109</v>
      </c>
      <c r="AH8" s="16">
        <v>975705.76398031553</v>
      </c>
      <c r="AI8" s="16">
        <v>1250904.825615789</v>
      </c>
      <c r="AJ8" s="16">
        <v>1663703.4180689994</v>
      </c>
      <c r="AK8" s="6" t="s">
        <v>34</v>
      </c>
    </row>
    <row r="9" spans="2:39">
      <c r="B9" s="4" t="s">
        <v>60</v>
      </c>
      <c r="C9" s="4" t="s">
        <v>61</v>
      </c>
      <c r="D9" s="4" t="s">
        <v>61</v>
      </c>
      <c r="E9" s="4" t="s">
        <v>38</v>
      </c>
      <c r="F9" s="7" t="s">
        <v>54</v>
      </c>
      <c r="G9" s="1"/>
      <c r="H9" s="86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1"/>
      <c r="N9" s="1"/>
      <c r="O9" s="6" t="s">
        <v>67</v>
      </c>
      <c r="P9" s="49" t="s">
        <v>58</v>
      </c>
      <c r="Q9" s="49" t="s">
        <v>58</v>
      </c>
      <c r="R9" s="6" t="s">
        <v>34</v>
      </c>
      <c r="S9" s="70">
        <v>0.45</v>
      </c>
      <c r="T9" s="106">
        <f>ROUND((AGRUPA_CARGO[[#This Row],[FTE TEORICO2]]*44),0)</f>
        <v>20</v>
      </c>
      <c r="W9" s="5" t="s">
        <v>68</v>
      </c>
      <c r="X9" s="5">
        <v>8</v>
      </c>
      <c r="Y9" s="5">
        <v>3</v>
      </c>
      <c r="Z9" s="5" t="s">
        <v>69</v>
      </c>
      <c r="AA9" s="5">
        <v>1</v>
      </c>
      <c r="AB9" s="37">
        <v>1090140</v>
      </c>
      <c r="AC9" s="16">
        <v>1397620</v>
      </c>
      <c r="AD9" s="38">
        <v>1858830</v>
      </c>
      <c r="AE9" s="17">
        <v>816332</v>
      </c>
      <c r="AF9" s="17">
        <v>1046580</v>
      </c>
      <c r="AG9" s="17">
        <v>1391951</v>
      </c>
      <c r="AH9" s="16">
        <v>1154600.232942923</v>
      </c>
      <c r="AI9" s="16">
        <v>1480256.7089011832</v>
      </c>
      <c r="AJ9" s="16">
        <v>1968741.4228385738</v>
      </c>
      <c r="AK9" s="6" t="s">
        <v>34</v>
      </c>
    </row>
    <row r="10" spans="2:39">
      <c r="B10" s="4" t="s">
        <v>70</v>
      </c>
      <c r="C10" s="4" t="s">
        <v>47</v>
      </c>
      <c r="D10" s="4" t="s">
        <v>47</v>
      </c>
      <c r="E10" s="4" t="s">
        <v>38</v>
      </c>
      <c r="F10" s="4" t="s">
        <v>48</v>
      </c>
      <c r="G10" s="1"/>
      <c r="H10" s="86" t="s">
        <v>71</v>
      </c>
      <c r="I10" s="4" t="s">
        <v>72</v>
      </c>
      <c r="J10" s="4" t="s">
        <v>73</v>
      </c>
      <c r="K10" s="4" t="s">
        <v>73</v>
      </c>
      <c r="L10" s="4" t="s">
        <v>42</v>
      </c>
      <c r="M10" s="1"/>
      <c r="N10" s="1"/>
      <c r="O10" s="6" t="s">
        <v>74</v>
      </c>
      <c r="P10" s="6" t="s">
        <v>44</v>
      </c>
      <c r="Q10" s="6" t="s">
        <v>44</v>
      </c>
      <c r="R10" s="6" t="s">
        <v>34</v>
      </c>
      <c r="S10" s="70">
        <v>1</v>
      </c>
      <c r="T10" s="106">
        <f>ROUND((AGRUPA_CARGO[[#This Row],[FTE TEORICO2]]*44),0)</f>
        <v>44</v>
      </c>
      <c r="W10" s="5" t="s">
        <v>75</v>
      </c>
      <c r="X10" s="5">
        <v>9</v>
      </c>
      <c r="Y10" s="5">
        <v>3</v>
      </c>
      <c r="Z10" s="5" t="s">
        <v>69</v>
      </c>
      <c r="AA10" s="5">
        <v>1</v>
      </c>
      <c r="AB10" s="37">
        <v>1314280</v>
      </c>
      <c r="AC10" s="16">
        <v>1684980</v>
      </c>
      <c r="AD10" s="38">
        <v>2241020</v>
      </c>
      <c r="AE10" s="17">
        <v>816332</v>
      </c>
      <c r="AF10" s="17">
        <v>1046580</v>
      </c>
      <c r="AG10" s="17">
        <v>1391951</v>
      </c>
      <c r="AH10" s="16">
        <v>1366294.7859132828</v>
      </c>
      <c r="AI10" s="16">
        <v>1751659.981940106</v>
      </c>
      <c r="AJ10" s="16">
        <v>2329707.7759803412</v>
      </c>
      <c r="AK10" s="6" t="s">
        <v>34</v>
      </c>
    </row>
    <row r="11" spans="2:39">
      <c r="B11" s="4" t="s">
        <v>76</v>
      </c>
      <c r="C11" s="4" t="s">
        <v>77</v>
      </c>
      <c r="D11" s="4" t="s">
        <v>78</v>
      </c>
      <c r="E11" s="4" t="s">
        <v>38</v>
      </c>
      <c r="F11" s="4" t="s">
        <v>79</v>
      </c>
      <c r="G11" s="1"/>
      <c r="H11" s="86" t="s">
        <v>80</v>
      </c>
      <c r="I11" s="4" t="s">
        <v>81</v>
      </c>
      <c r="J11" s="4" t="s">
        <v>81</v>
      </c>
      <c r="K11" s="4" t="s">
        <v>81</v>
      </c>
      <c r="L11" s="4" t="s">
        <v>42</v>
      </c>
      <c r="M11" s="1"/>
      <c r="N11" s="1"/>
      <c r="O11" s="6" t="s">
        <v>82</v>
      </c>
      <c r="P11" s="6" t="s">
        <v>83</v>
      </c>
      <c r="Q11" s="6" t="s">
        <v>44</v>
      </c>
      <c r="R11" s="6" t="s">
        <v>34</v>
      </c>
      <c r="S11" s="70">
        <v>1</v>
      </c>
      <c r="T11" s="106">
        <f>ROUND((AGRUPA_CARGO[[#This Row],[FTE TEORICO2]]*44),0)</f>
        <v>44</v>
      </c>
      <c r="W11" s="5" t="s">
        <v>84</v>
      </c>
      <c r="X11" s="5">
        <v>10</v>
      </c>
      <c r="Y11" s="5">
        <v>4</v>
      </c>
      <c r="Z11" s="5" t="s">
        <v>85</v>
      </c>
      <c r="AA11" s="5">
        <v>1</v>
      </c>
      <c r="AB11" s="37">
        <v>1580900</v>
      </c>
      <c r="AC11" s="16">
        <v>2026790</v>
      </c>
      <c r="AD11" s="38">
        <v>2695630</v>
      </c>
      <c r="AE11" s="17">
        <v>1181037</v>
      </c>
      <c r="AF11" s="17">
        <v>1514150</v>
      </c>
      <c r="AG11" s="17">
        <v>2013820</v>
      </c>
      <c r="AH11" s="16">
        <v>1616803.2785301835</v>
      </c>
      <c r="AI11" s="16">
        <v>2072824.7160643379</v>
      </c>
      <c r="AJ11" s="16">
        <v>2756856.8723655697</v>
      </c>
      <c r="AK11" s="6" t="s">
        <v>34</v>
      </c>
    </row>
    <row r="12" spans="2:39">
      <c r="B12" s="4" t="s">
        <v>86</v>
      </c>
      <c r="C12" s="4" t="s">
        <v>87</v>
      </c>
      <c r="D12" s="4" t="s">
        <v>87</v>
      </c>
      <c r="E12" s="4" t="s">
        <v>38</v>
      </c>
      <c r="F12" s="7" t="s">
        <v>54</v>
      </c>
      <c r="G12" s="1"/>
      <c r="H12" s="86" t="s">
        <v>88</v>
      </c>
      <c r="I12" s="4" t="s">
        <v>89</v>
      </c>
      <c r="J12" s="4" t="s">
        <v>90</v>
      </c>
      <c r="K12" s="4" t="s">
        <v>90</v>
      </c>
      <c r="L12" s="4" t="s">
        <v>42</v>
      </c>
      <c r="M12" s="1"/>
      <c r="N12" s="1"/>
      <c r="O12" s="6" t="s">
        <v>91</v>
      </c>
      <c r="P12" s="6" t="s">
        <v>44</v>
      </c>
      <c r="Q12" s="6" t="s">
        <v>44</v>
      </c>
      <c r="R12" s="6" t="s">
        <v>34</v>
      </c>
      <c r="S12" s="70">
        <v>1</v>
      </c>
      <c r="T12" s="106">
        <f>ROUND((AGRUPA_CARGO[[#This Row],[FTE TEORICO2]]*44),0)</f>
        <v>44</v>
      </c>
      <c r="W12" s="5" t="s">
        <v>92</v>
      </c>
      <c r="X12" s="5">
        <v>11</v>
      </c>
      <c r="Y12" s="5">
        <v>4</v>
      </c>
      <c r="Z12" s="5" t="s">
        <v>85</v>
      </c>
      <c r="AA12" s="5">
        <v>1</v>
      </c>
      <c r="AB12" s="37">
        <v>1897890</v>
      </c>
      <c r="AC12" s="16">
        <v>2433190</v>
      </c>
      <c r="AD12" s="38">
        <v>3236140</v>
      </c>
      <c r="AE12" s="17">
        <v>1181037</v>
      </c>
      <c r="AF12" s="17">
        <v>1514150</v>
      </c>
      <c r="AG12" s="17">
        <v>2013820</v>
      </c>
      <c r="AH12" s="16">
        <v>1913242.1995730724</v>
      </c>
      <c r="AI12" s="16">
        <v>2452874.6148372721</v>
      </c>
      <c r="AJ12" s="16">
        <v>3262323.2377335723</v>
      </c>
      <c r="AK12" s="6" t="s">
        <v>34</v>
      </c>
    </row>
    <row r="13" spans="2:39">
      <c r="B13" s="4" t="s">
        <v>93</v>
      </c>
      <c r="C13" s="4" t="s">
        <v>94</v>
      </c>
      <c r="D13" s="4" t="s">
        <v>94</v>
      </c>
      <c r="E13" s="4" t="s">
        <v>38</v>
      </c>
      <c r="F13" s="7" t="s">
        <v>54</v>
      </c>
      <c r="G13" s="1"/>
      <c r="H13" s="86" t="s">
        <v>95</v>
      </c>
      <c r="I13" s="4" t="s">
        <v>96</v>
      </c>
      <c r="J13" s="4" t="s">
        <v>73</v>
      </c>
      <c r="K13" s="4" t="s">
        <v>73</v>
      </c>
      <c r="L13" s="4" t="s">
        <v>42</v>
      </c>
      <c r="M13" s="1"/>
      <c r="N13" s="1"/>
      <c r="O13" s="6" t="s">
        <v>97</v>
      </c>
      <c r="P13" s="6" t="s">
        <v>44</v>
      </c>
      <c r="Q13" s="6" t="s">
        <v>44</v>
      </c>
      <c r="R13" s="6" t="s">
        <v>34</v>
      </c>
      <c r="S13" s="70">
        <v>1</v>
      </c>
      <c r="T13" s="106">
        <f>ROUND((AGRUPA_CARGO[[#This Row],[FTE TEORICO2]]*44),0)</f>
        <v>44</v>
      </c>
      <c r="W13" s="5" t="s">
        <v>98</v>
      </c>
      <c r="X13" s="5">
        <v>12</v>
      </c>
      <c r="Y13" s="5">
        <v>5</v>
      </c>
      <c r="Z13" s="5" t="s">
        <v>99</v>
      </c>
      <c r="AA13" s="5">
        <v>1</v>
      </c>
      <c r="AB13" s="37">
        <v>2274570</v>
      </c>
      <c r="AC13" s="16">
        <v>2916120</v>
      </c>
      <c r="AD13" s="38">
        <v>3878440</v>
      </c>
      <c r="AE13" s="17">
        <v>1708691</v>
      </c>
      <c r="AF13" s="17">
        <v>2190630</v>
      </c>
      <c r="AG13" s="17">
        <v>2913538</v>
      </c>
      <c r="AH13" s="16">
        <v>2264032.8374116872</v>
      </c>
      <c r="AI13" s="16">
        <v>2902606.2018098552</v>
      </c>
      <c r="AJ13" s="16">
        <v>3860466.2484071078</v>
      </c>
      <c r="AK13" s="6" t="s">
        <v>100</v>
      </c>
    </row>
    <row r="14" spans="2:39">
      <c r="B14" s="4" t="s">
        <v>101</v>
      </c>
      <c r="C14" s="4" t="s">
        <v>102</v>
      </c>
      <c r="D14" s="4" t="s">
        <v>103</v>
      </c>
      <c r="E14" s="4" t="s">
        <v>38</v>
      </c>
      <c r="F14" s="7" t="s">
        <v>54</v>
      </c>
      <c r="G14" s="1"/>
      <c r="H14" s="86" t="s">
        <v>104</v>
      </c>
      <c r="I14" s="4" t="s">
        <v>105</v>
      </c>
      <c r="J14" s="4" t="s">
        <v>73</v>
      </c>
      <c r="K14" s="4" t="s">
        <v>73</v>
      </c>
      <c r="L14" s="4" t="s">
        <v>42</v>
      </c>
      <c r="M14" s="1"/>
      <c r="N14" s="1"/>
      <c r="O14" s="6" t="s">
        <v>106</v>
      </c>
      <c r="P14" s="6" t="s">
        <v>44</v>
      </c>
      <c r="Q14" s="6" t="s">
        <v>44</v>
      </c>
      <c r="R14" s="6" t="s">
        <v>34</v>
      </c>
      <c r="S14" s="70">
        <v>1</v>
      </c>
      <c r="T14" s="106">
        <f>ROUND((AGRUPA_CARGO[[#This Row],[FTE TEORICO2]]*44),0)</f>
        <v>44</v>
      </c>
      <c r="W14" s="5" t="s">
        <v>107</v>
      </c>
      <c r="X14" s="5">
        <v>13</v>
      </c>
      <c r="Y14" s="5">
        <v>6</v>
      </c>
      <c r="Z14" s="5" t="s">
        <v>99</v>
      </c>
      <c r="AA14" s="5">
        <v>1</v>
      </c>
      <c r="AB14" s="37">
        <v>2722090</v>
      </c>
      <c r="AC14" s="16">
        <v>3489860</v>
      </c>
      <c r="AD14" s="38">
        <v>4641510</v>
      </c>
      <c r="AE14" s="17">
        <v>2472077</v>
      </c>
      <c r="AF14" s="17">
        <v>3169330</v>
      </c>
      <c r="AG14" s="17">
        <v>4215209</v>
      </c>
      <c r="AH14" s="16">
        <v>2679140.5134290927</v>
      </c>
      <c r="AI14" s="16">
        <v>3434795.5300372983</v>
      </c>
      <c r="AJ14" s="16">
        <v>4568278.0549496068</v>
      </c>
      <c r="AK14" s="6" t="s">
        <v>100</v>
      </c>
    </row>
    <row r="15" spans="2:39">
      <c r="B15" s="4" t="s">
        <v>108</v>
      </c>
      <c r="C15" s="4" t="s">
        <v>109</v>
      </c>
      <c r="D15" s="4" t="s">
        <v>109</v>
      </c>
      <c r="E15" s="4" t="s">
        <v>38</v>
      </c>
      <c r="F15" s="7" t="s">
        <v>54</v>
      </c>
      <c r="G15" s="1"/>
      <c r="H15" s="86" t="s">
        <v>110</v>
      </c>
      <c r="I15" s="4" t="s">
        <v>111</v>
      </c>
      <c r="J15" s="4" t="s">
        <v>63</v>
      </c>
      <c r="K15" s="4" t="s">
        <v>63</v>
      </c>
      <c r="L15" s="4" t="s">
        <v>42</v>
      </c>
      <c r="M15" s="1"/>
      <c r="N15" s="1"/>
      <c r="O15" s="6" t="s">
        <v>112</v>
      </c>
      <c r="P15" s="6" t="s">
        <v>44</v>
      </c>
      <c r="Q15" s="6" t="s">
        <v>44</v>
      </c>
      <c r="R15" s="6" t="s">
        <v>34</v>
      </c>
      <c r="S15" s="70">
        <v>1</v>
      </c>
      <c r="T15" s="106">
        <f>ROUND((AGRUPA_CARGO[[#This Row],[FTE TEORICO2]]*44),0)</f>
        <v>44</v>
      </c>
      <c r="W15" s="5" t="s">
        <v>113</v>
      </c>
      <c r="X15" s="5">
        <v>14</v>
      </c>
      <c r="Y15" s="5">
        <v>7</v>
      </c>
      <c r="Z15" s="5" t="s">
        <v>114</v>
      </c>
      <c r="AA15" s="5">
        <v>1</v>
      </c>
      <c r="AB15" s="37">
        <v>3253600</v>
      </c>
      <c r="AC15" s="16">
        <v>4171280</v>
      </c>
      <c r="AD15" s="38">
        <v>5547800</v>
      </c>
      <c r="AE15" s="17">
        <v>4291825</v>
      </c>
      <c r="AF15" s="17">
        <v>5502340</v>
      </c>
      <c r="AG15" s="17">
        <v>7318112</v>
      </c>
      <c r="AH15" s="16">
        <v>3170357.67860283</v>
      </c>
      <c r="AI15" s="16">
        <v>4064561.1264138846</v>
      </c>
      <c r="AJ15" s="16">
        <v>5405866.2981304666</v>
      </c>
      <c r="AK15" s="6" t="s">
        <v>100</v>
      </c>
    </row>
    <row r="16" spans="2:39">
      <c r="B16" s="4" t="s">
        <v>115</v>
      </c>
      <c r="C16" s="4" t="s">
        <v>116</v>
      </c>
      <c r="D16" s="4" t="s">
        <v>116</v>
      </c>
      <c r="E16" s="4" t="s">
        <v>38</v>
      </c>
      <c r="F16" s="7" t="s">
        <v>79</v>
      </c>
      <c r="G16" s="1"/>
      <c r="H16" s="86" t="s">
        <v>117</v>
      </c>
      <c r="I16" s="4" t="s">
        <v>118</v>
      </c>
      <c r="J16" s="4" t="s">
        <v>119</v>
      </c>
      <c r="K16" s="4" t="s">
        <v>119</v>
      </c>
      <c r="L16" s="4" t="s">
        <v>42</v>
      </c>
      <c r="M16" s="1"/>
      <c r="N16" s="1"/>
      <c r="O16" s="6" t="s">
        <v>120</v>
      </c>
      <c r="P16" s="6" t="s">
        <v>120</v>
      </c>
      <c r="Q16" s="6" t="s">
        <v>44</v>
      </c>
      <c r="R16" s="6" t="s">
        <v>34</v>
      </c>
      <c r="S16" s="70">
        <v>1</v>
      </c>
      <c r="T16" s="106">
        <f>ROUND((AGRUPA_CARGO[[#This Row],[FTE TEORICO2]]*44),0)</f>
        <v>44</v>
      </c>
      <c r="W16" s="5" t="s">
        <v>121</v>
      </c>
      <c r="X16" s="5">
        <v>15</v>
      </c>
      <c r="Y16" s="5">
        <v>7</v>
      </c>
      <c r="Z16" s="5" t="s">
        <v>122</v>
      </c>
      <c r="AA16" s="5">
        <v>1</v>
      </c>
      <c r="AB16" s="37">
        <v>3884740</v>
      </c>
      <c r="AC16" s="16">
        <v>4980440</v>
      </c>
      <c r="AD16" s="38">
        <v>6623990</v>
      </c>
      <c r="AE16" s="17">
        <v>4291825</v>
      </c>
      <c r="AF16" s="17">
        <v>5502340</v>
      </c>
      <c r="AG16" s="17">
        <v>7318112</v>
      </c>
      <c r="AH16" s="16">
        <v>3807098.1267571133</v>
      </c>
      <c r="AI16" s="16">
        <v>4880895.0343039911</v>
      </c>
      <c r="AJ16" s="16">
        <v>6491590.3956243088</v>
      </c>
      <c r="AK16" s="6" t="s">
        <v>100</v>
      </c>
    </row>
    <row r="17" spans="2:37">
      <c r="B17" s="4" t="s">
        <v>123</v>
      </c>
      <c r="C17" s="4" t="s">
        <v>124</v>
      </c>
      <c r="D17" s="4" t="s">
        <v>124</v>
      </c>
      <c r="E17" s="4" t="s">
        <v>38</v>
      </c>
      <c r="F17" s="7" t="s">
        <v>125</v>
      </c>
      <c r="G17" s="1"/>
      <c r="H17" s="86" t="s">
        <v>126</v>
      </c>
      <c r="I17" s="4" t="s">
        <v>127</v>
      </c>
      <c r="J17" s="4" t="s">
        <v>63</v>
      </c>
      <c r="K17" s="4" t="s">
        <v>63</v>
      </c>
      <c r="L17" s="4" t="s">
        <v>42</v>
      </c>
      <c r="M17" s="1"/>
      <c r="N17" s="1"/>
      <c r="O17" s="6" t="s">
        <v>128</v>
      </c>
      <c r="P17" s="34" t="s">
        <v>129</v>
      </c>
      <c r="Q17" s="6" t="s">
        <v>130</v>
      </c>
      <c r="R17" s="6" t="s">
        <v>34</v>
      </c>
      <c r="S17" s="70">
        <v>0.68</v>
      </c>
      <c r="T17" s="106">
        <f>ROUND((AGRUPA_CARGO[[#This Row],[FTE TEORICO2]]*44),0)</f>
        <v>30</v>
      </c>
      <c r="W17" s="5" t="s">
        <v>131</v>
      </c>
      <c r="X17" s="5">
        <v>15</v>
      </c>
      <c r="Y17" s="5">
        <v>7</v>
      </c>
      <c r="Z17" s="5" t="s">
        <v>122</v>
      </c>
      <c r="AA17" s="5">
        <v>1</v>
      </c>
      <c r="AB17" s="37">
        <v>3884740</v>
      </c>
      <c r="AC17" s="16">
        <v>4980440</v>
      </c>
      <c r="AD17" s="38">
        <v>6623990</v>
      </c>
      <c r="AE17" s="17">
        <v>4291825</v>
      </c>
      <c r="AF17" s="17">
        <v>5502340</v>
      </c>
      <c r="AG17" s="17">
        <v>7318112</v>
      </c>
      <c r="AH17" s="16">
        <v>3807098.1267571133</v>
      </c>
      <c r="AI17" s="16">
        <v>4880895.0343039911</v>
      </c>
      <c r="AJ17" s="16">
        <v>6491590.3956243088</v>
      </c>
      <c r="AK17" s="6" t="s">
        <v>100</v>
      </c>
    </row>
    <row r="18" spans="2:37">
      <c r="B18" s="4" t="s">
        <v>132</v>
      </c>
      <c r="C18" s="4" t="s">
        <v>133</v>
      </c>
      <c r="D18" s="4" t="s">
        <v>133</v>
      </c>
      <c r="E18" s="4" t="s">
        <v>38</v>
      </c>
      <c r="F18" s="7" t="s">
        <v>79</v>
      </c>
      <c r="G18" s="1"/>
      <c r="H18" s="86" t="s">
        <v>134</v>
      </c>
      <c r="I18" s="4" t="s">
        <v>135</v>
      </c>
      <c r="J18" s="4" t="s">
        <v>135</v>
      </c>
      <c r="K18" s="4" t="s">
        <v>135</v>
      </c>
      <c r="L18" s="4" t="s">
        <v>42</v>
      </c>
      <c r="M18" s="1"/>
      <c r="N18" s="1"/>
      <c r="O18" s="6" t="s">
        <v>136</v>
      </c>
      <c r="P18" s="6" t="s">
        <v>137</v>
      </c>
      <c r="Q18" s="6" t="s">
        <v>137</v>
      </c>
      <c r="R18" s="6" t="s">
        <v>34</v>
      </c>
      <c r="S18" s="70">
        <v>1</v>
      </c>
      <c r="T18" s="106">
        <f>ROUND((AGRUPA_CARGO[[#This Row],[FTE TEORICO2]]*44),0)</f>
        <v>44</v>
      </c>
      <c r="W18" s="5" t="s">
        <v>138</v>
      </c>
      <c r="X18" s="5" t="s">
        <v>139</v>
      </c>
      <c r="Y18" s="5">
        <v>8</v>
      </c>
      <c r="Z18" s="5" t="s">
        <v>140</v>
      </c>
      <c r="AA18" s="5">
        <v>2</v>
      </c>
      <c r="AB18" s="37">
        <v>5514190</v>
      </c>
      <c r="AC18" s="16">
        <v>7069470</v>
      </c>
      <c r="AD18" s="38">
        <v>9402400</v>
      </c>
      <c r="AE18" s="17">
        <v>7186310</v>
      </c>
      <c r="AF18" s="17">
        <v>9213210</v>
      </c>
      <c r="AG18" s="17">
        <v>12253570</v>
      </c>
      <c r="AH18" s="16">
        <v>3751638.915501012</v>
      </c>
      <c r="AI18" s="16">
        <v>4809793.4814115539</v>
      </c>
      <c r="AJ18" s="16">
        <v>6397025.3302773675</v>
      </c>
      <c r="AK18" s="6" t="s">
        <v>141</v>
      </c>
    </row>
    <row r="19" spans="2:37">
      <c r="B19" s="4" t="s">
        <v>142</v>
      </c>
      <c r="C19" s="4" t="s">
        <v>143</v>
      </c>
      <c r="D19" s="4" t="s">
        <v>143</v>
      </c>
      <c r="E19" s="4" t="s">
        <v>38</v>
      </c>
      <c r="F19" s="7" t="s">
        <v>79</v>
      </c>
      <c r="G19" s="1"/>
      <c r="H19" s="86" t="s">
        <v>144</v>
      </c>
      <c r="I19" s="4" t="s">
        <v>145</v>
      </c>
      <c r="J19" s="4" t="s">
        <v>90</v>
      </c>
      <c r="K19" s="4" t="s">
        <v>90</v>
      </c>
      <c r="L19" s="4" t="s">
        <v>42</v>
      </c>
      <c r="M19" s="1"/>
      <c r="N19" s="1"/>
      <c r="O19" s="6" t="s">
        <v>146</v>
      </c>
      <c r="P19" s="6" t="s">
        <v>137</v>
      </c>
      <c r="Q19" s="6" t="s">
        <v>137</v>
      </c>
      <c r="R19" s="6" t="s">
        <v>34</v>
      </c>
      <c r="S19" s="70">
        <v>1</v>
      </c>
      <c r="T19" s="106">
        <f>ROUND((AGRUPA_CARGO[[#This Row],[FTE TEORICO2]]*44),0)</f>
        <v>44</v>
      </c>
      <c r="W19" s="5" t="s">
        <v>147</v>
      </c>
      <c r="X19" s="5" t="s">
        <v>148</v>
      </c>
      <c r="Y19" s="5">
        <v>8</v>
      </c>
      <c r="Z19" s="5" t="s">
        <v>140</v>
      </c>
      <c r="AA19" s="5">
        <v>2</v>
      </c>
      <c r="AB19" s="37">
        <v>6484960</v>
      </c>
      <c r="AC19" s="16">
        <v>8314050</v>
      </c>
      <c r="AD19" s="38">
        <v>11057690</v>
      </c>
      <c r="AE19" s="17">
        <v>7186310</v>
      </c>
      <c r="AF19" s="17">
        <v>9213210</v>
      </c>
      <c r="AG19" s="17">
        <v>12253570</v>
      </c>
      <c r="AH19" s="16">
        <v>4439497.3624882372</v>
      </c>
      <c r="AI19" s="16">
        <v>5691663.2852413291</v>
      </c>
      <c r="AJ19" s="16">
        <v>7569912.1693709679</v>
      </c>
      <c r="AK19" s="6" t="s">
        <v>141</v>
      </c>
    </row>
    <row r="20" spans="2:37">
      <c r="B20" s="4" t="s">
        <v>149</v>
      </c>
      <c r="C20" s="4" t="s">
        <v>150</v>
      </c>
      <c r="D20" s="4" t="s">
        <v>150</v>
      </c>
      <c r="E20" s="4" t="s">
        <v>38</v>
      </c>
      <c r="F20" s="7" t="s">
        <v>79</v>
      </c>
      <c r="G20" s="1"/>
      <c r="H20" s="86" t="s">
        <v>151</v>
      </c>
      <c r="I20" s="4" t="s">
        <v>152</v>
      </c>
      <c r="J20" s="4" t="s">
        <v>119</v>
      </c>
      <c r="K20" s="4" t="s">
        <v>153</v>
      </c>
      <c r="L20" s="4" t="s">
        <v>42</v>
      </c>
      <c r="M20" s="1"/>
      <c r="N20" s="1"/>
      <c r="O20" s="6" t="s">
        <v>154</v>
      </c>
      <c r="P20" s="6" t="s">
        <v>137</v>
      </c>
      <c r="Q20" s="6" t="s">
        <v>137</v>
      </c>
      <c r="R20" s="6" t="s">
        <v>34</v>
      </c>
      <c r="S20" s="70">
        <v>1</v>
      </c>
      <c r="T20" s="106">
        <f>ROUND((AGRUPA_CARGO[[#This Row],[FTE TEORICO2]]*44),0)</f>
        <v>44</v>
      </c>
      <c r="W20" s="5" t="s">
        <v>155</v>
      </c>
      <c r="X20" s="5" t="s">
        <v>156</v>
      </c>
      <c r="Y20" s="5">
        <v>9</v>
      </c>
      <c r="Z20" s="5" t="s">
        <v>140</v>
      </c>
      <c r="AA20" s="5">
        <v>2</v>
      </c>
      <c r="AB20" s="37">
        <v>7623670</v>
      </c>
      <c r="AC20" s="16">
        <v>9773930</v>
      </c>
      <c r="AD20" s="38">
        <v>12999330</v>
      </c>
      <c r="AE20" s="17">
        <v>9126610</v>
      </c>
      <c r="AF20" s="17">
        <v>11700770</v>
      </c>
      <c r="AG20" s="17">
        <v>15562030</v>
      </c>
      <c r="AH20" s="16">
        <v>5253473.8218291318</v>
      </c>
      <c r="AI20" s="16">
        <v>6735222.8484988865</v>
      </c>
      <c r="AJ20" s="16">
        <v>8957846.3885035198</v>
      </c>
      <c r="AK20" s="6" t="s">
        <v>141</v>
      </c>
    </row>
    <row r="21" spans="2:37">
      <c r="B21" s="4" t="s">
        <v>157</v>
      </c>
      <c r="C21" s="4" t="s">
        <v>158</v>
      </c>
      <c r="D21" s="4" t="s">
        <v>158</v>
      </c>
      <c r="E21" s="4" t="s">
        <v>38</v>
      </c>
      <c r="F21" s="7" t="s">
        <v>79</v>
      </c>
      <c r="G21" s="1"/>
      <c r="H21" s="86" t="s">
        <v>159</v>
      </c>
      <c r="I21" s="4" t="s">
        <v>160</v>
      </c>
      <c r="J21" s="4" t="s">
        <v>90</v>
      </c>
      <c r="K21" s="4" t="s">
        <v>90</v>
      </c>
      <c r="L21" s="4" t="s">
        <v>42</v>
      </c>
      <c r="M21" s="1"/>
      <c r="N21" s="1"/>
      <c r="O21" s="6" t="s">
        <v>161</v>
      </c>
      <c r="P21" s="6" t="s">
        <v>137</v>
      </c>
      <c r="Q21" s="6" t="s">
        <v>137</v>
      </c>
      <c r="R21" s="6" t="s">
        <v>34</v>
      </c>
      <c r="S21" s="70">
        <v>1</v>
      </c>
      <c r="T21" s="106">
        <f>ROUND((AGRUPA_CARGO[[#This Row],[FTE TEORICO2]]*44),0)</f>
        <v>44</v>
      </c>
      <c r="W21" s="5" t="s">
        <v>162</v>
      </c>
      <c r="X21" s="5" t="s">
        <v>156</v>
      </c>
      <c r="Y21" s="5">
        <v>9</v>
      </c>
      <c r="Z21" s="5" t="s">
        <v>140</v>
      </c>
      <c r="AA21" s="5">
        <v>2</v>
      </c>
      <c r="AB21" s="37">
        <v>7623670</v>
      </c>
      <c r="AC21" s="16">
        <v>9773930</v>
      </c>
      <c r="AD21" s="38">
        <v>12999330</v>
      </c>
      <c r="AE21" s="17">
        <v>9126610</v>
      </c>
      <c r="AF21" s="17">
        <v>11700770</v>
      </c>
      <c r="AG21" s="17">
        <v>15562030</v>
      </c>
      <c r="AH21" s="16">
        <v>5253473.8218291318</v>
      </c>
      <c r="AI21" s="16">
        <v>6735222.8484988865</v>
      </c>
      <c r="AJ21" s="16">
        <v>8957846.3885035198</v>
      </c>
      <c r="AK21" s="6" t="s">
        <v>141</v>
      </c>
    </row>
    <row r="22" spans="2:37">
      <c r="B22" s="4" t="s">
        <v>163</v>
      </c>
      <c r="C22" s="4" t="s">
        <v>164</v>
      </c>
      <c r="D22" s="4" t="s">
        <v>164</v>
      </c>
      <c r="E22" s="4" t="s">
        <v>38</v>
      </c>
      <c r="F22" s="7" t="s">
        <v>79</v>
      </c>
      <c r="G22" s="1"/>
      <c r="H22" s="86" t="s">
        <v>165</v>
      </c>
      <c r="I22" s="4" t="s">
        <v>166</v>
      </c>
      <c r="J22" s="4" t="s">
        <v>167</v>
      </c>
      <c r="K22" s="4" t="s">
        <v>41</v>
      </c>
      <c r="L22" s="4" t="s">
        <v>42</v>
      </c>
      <c r="M22" s="1"/>
      <c r="N22" s="1"/>
      <c r="O22" s="6" t="s">
        <v>168</v>
      </c>
      <c r="P22" s="6" t="s">
        <v>137</v>
      </c>
      <c r="Q22" s="6" t="s">
        <v>137</v>
      </c>
      <c r="R22" s="6" t="s">
        <v>34</v>
      </c>
      <c r="S22" s="70">
        <v>1</v>
      </c>
      <c r="T22" s="106">
        <f>ROUND((AGRUPA_CARGO[[#This Row],[FTE TEORICO2]]*44),0)</f>
        <v>44</v>
      </c>
      <c r="W22" s="5" t="s">
        <v>169</v>
      </c>
      <c r="X22" s="5" t="s">
        <v>170</v>
      </c>
      <c r="Y22" s="5">
        <v>9</v>
      </c>
      <c r="Z22" s="5" t="s">
        <v>140</v>
      </c>
      <c r="AA22" s="5">
        <v>2</v>
      </c>
      <c r="AB22" s="37">
        <v>8959260</v>
      </c>
      <c r="AC22" s="16">
        <v>11486230</v>
      </c>
      <c r="AD22" s="38">
        <v>15276690</v>
      </c>
      <c r="AE22" s="17">
        <v>9126610</v>
      </c>
      <c r="AF22" s="17">
        <v>11700770</v>
      </c>
      <c r="AG22" s="17">
        <v>15562030</v>
      </c>
      <c r="AH22" s="16">
        <v>6216691.8781939372</v>
      </c>
      <c r="AI22" s="16">
        <v>7970117.7925563296</v>
      </c>
      <c r="AJ22" s="16">
        <v>10600256.664099919</v>
      </c>
      <c r="AK22" s="6" t="s">
        <v>141</v>
      </c>
    </row>
    <row r="23" spans="2:37">
      <c r="B23" s="4" t="s">
        <v>171</v>
      </c>
      <c r="C23" s="4" t="s">
        <v>172</v>
      </c>
      <c r="D23" s="4" t="s">
        <v>172</v>
      </c>
      <c r="E23" s="4" t="s">
        <v>38</v>
      </c>
      <c r="F23" s="7" t="s">
        <v>79</v>
      </c>
      <c r="G23" s="1"/>
      <c r="H23" s="86" t="s">
        <v>173</v>
      </c>
      <c r="I23" s="4" t="s">
        <v>174</v>
      </c>
      <c r="J23" s="4" t="s">
        <v>167</v>
      </c>
      <c r="K23" s="4" t="s">
        <v>65</v>
      </c>
      <c r="L23" s="4" t="s">
        <v>42</v>
      </c>
      <c r="M23" s="1"/>
      <c r="N23" s="1"/>
      <c r="O23" s="6" t="s">
        <v>175</v>
      </c>
      <c r="P23" s="6" t="s">
        <v>176</v>
      </c>
      <c r="Q23" s="6" t="s">
        <v>176</v>
      </c>
      <c r="R23" s="6" t="s">
        <v>34</v>
      </c>
      <c r="S23" s="70">
        <v>1</v>
      </c>
      <c r="T23" s="106">
        <f>ROUND((AGRUPA_CARGO[[#This Row],[FTE TEORICO2]]*44),0)</f>
        <v>44</v>
      </c>
      <c r="W23" s="6" t="s">
        <v>177</v>
      </c>
      <c r="X23" s="6" t="s">
        <v>178</v>
      </c>
      <c r="Y23" s="6">
        <v>10</v>
      </c>
      <c r="Z23" s="6" t="s">
        <v>140</v>
      </c>
      <c r="AA23" s="5">
        <v>2</v>
      </c>
      <c r="AB23" s="37">
        <v>10525820</v>
      </c>
      <c r="AC23" s="16">
        <v>13494630</v>
      </c>
      <c r="AD23" s="38">
        <v>17947860</v>
      </c>
      <c r="AE23" s="17">
        <v>11590790</v>
      </c>
      <c r="AF23" s="17">
        <v>14859980</v>
      </c>
      <c r="AG23" s="17">
        <v>19763780</v>
      </c>
      <c r="AH23" s="16">
        <v>7356514.7974690711</v>
      </c>
      <c r="AI23" s="16">
        <v>9431429.22752445</v>
      </c>
      <c r="AJ23" s="16">
        <v>12543800.87260752</v>
      </c>
      <c r="AK23" s="6" t="s">
        <v>141</v>
      </c>
    </row>
    <row r="24" spans="2:37" ht="15.75" thickBot="1">
      <c r="B24" s="4" t="s">
        <v>179</v>
      </c>
      <c r="C24" s="4" t="s">
        <v>180</v>
      </c>
      <c r="D24" s="4" t="s">
        <v>180</v>
      </c>
      <c r="E24" s="4" t="s">
        <v>38</v>
      </c>
      <c r="F24" s="7" t="s">
        <v>79</v>
      </c>
      <c r="G24" s="1"/>
      <c r="H24" s="86" t="s">
        <v>181</v>
      </c>
      <c r="I24" s="4" t="s">
        <v>182</v>
      </c>
      <c r="J24" s="4" t="s">
        <v>183</v>
      </c>
      <c r="K24" s="4" t="s">
        <v>183</v>
      </c>
      <c r="L24" s="4" t="s">
        <v>183</v>
      </c>
      <c r="M24" s="1"/>
      <c r="N24" s="1"/>
      <c r="O24" s="6" t="s">
        <v>184</v>
      </c>
      <c r="P24" s="6" t="s">
        <v>176</v>
      </c>
      <c r="Q24" s="6" t="s">
        <v>176</v>
      </c>
      <c r="R24" s="6" t="s">
        <v>34</v>
      </c>
      <c r="S24" s="70">
        <v>1</v>
      </c>
      <c r="T24" s="106">
        <f>ROUND((AGRUPA_CARGO[[#This Row],[FTE TEORICO2]]*44),0)</f>
        <v>44</v>
      </c>
      <c r="W24" s="6"/>
      <c r="X24" s="6" t="s">
        <v>185</v>
      </c>
      <c r="Y24" s="6">
        <v>10</v>
      </c>
      <c r="Z24" s="6" t="s">
        <v>140</v>
      </c>
      <c r="AA24" s="5">
        <v>2</v>
      </c>
      <c r="AB24" s="39">
        <v>12363250</v>
      </c>
      <c r="AC24" s="40">
        <v>15850310</v>
      </c>
      <c r="AD24" s="41">
        <v>21080920</v>
      </c>
      <c r="AE24" s="17">
        <v>11590790</v>
      </c>
      <c r="AF24" s="17">
        <v>14859980</v>
      </c>
      <c r="AG24" s="17">
        <v>19763780</v>
      </c>
      <c r="AH24" s="16">
        <v>0</v>
      </c>
      <c r="AI24" s="16">
        <v>0</v>
      </c>
      <c r="AJ24" s="16">
        <v>0</v>
      </c>
      <c r="AK24" s="6" t="s">
        <v>141</v>
      </c>
    </row>
    <row r="25" spans="2:37">
      <c r="B25" s="4" t="s">
        <v>186</v>
      </c>
      <c r="C25" s="4" t="s">
        <v>187</v>
      </c>
      <c r="D25" s="4" t="s">
        <v>187</v>
      </c>
      <c r="E25" s="4" t="s">
        <v>38</v>
      </c>
      <c r="F25" s="7" t="s">
        <v>79</v>
      </c>
      <c r="G25" s="1"/>
      <c r="H25" s="86" t="s">
        <v>188</v>
      </c>
      <c r="I25" s="4" t="s">
        <v>189</v>
      </c>
      <c r="J25" s="4" t="s">
        <v>183</v>
      </c>
      <c r="K25" s="4" t="s">
        <v>183</v>
      </c>
      <c r="L25" s="4" t="s">
        <v>183</v>
      </c>
      <c r="M25" s="1"/>
      <c r="N25" s="1"/>
      <c r="O25" s="6" t="s">
        <v>190</v>
      </c>
      <c r="P25" s="6" t="s">
        <v>176</v>
      </c>
      <c r="Q25" s="6" t="s">
        <v>176</v>
      </c>
      <c r="R25" s="6" t="s">
        <v>34</v>
      </c>
      <c r="S25" s="70">
        <v>1</v>
      </c>
      <c r="T25" s="106">
        <f>ROUND((AGRUPA_CARGO[[#This Row],[FTE TEORICO2]]*44),0)</f>
        <v>44</v>
      </c>
      <c r="W25" s="4" t="s">
        <v>191</v>
      </c>
      <c r="X25" s="6">
        <v>21</v>
      </c>
      <c r="Y25" s="6">
        <v>11</v>
      </c>
      <c r="Z25" s="6" t="s">
        <v>192</v>
      </c>
      <c r="AA25" s="6"/>
      <c r="AB25" s="6"/>
      <c r="AC25" s="6"/>
      <c r="AD25" s="6"/>
      <c r="AE25" s="4"/>
      <c r="AF25" s="4"/>
      <c r="AG25" s="4"/>
      <c r="AH25" s="16">
        <v>0</v>
      </c>
      <c r="AI25" s="16">
        <v>0</v>
      </c>
      <c r="AJ25" s="16">
        <v>0</v>
      </c>
      <c r="AK25" s="6" t="s">
        <v>193</v>
      </c>
    </row>
    <row r="26" spans="2:37">
      <c r="B26" s="4" t="s">
        <v>194</v>
      </c>
      <c r="C26" s="4" t="s">
        <v>195</v>
      </c>
      <c r="D26" s="4" t="s">
        <v>195</v>
      </c>
      <c r="E26" s="4" t="s">
        <v>38</v>
      </c>
      <c r="F26" s="7" t="s">
        <v>79</v>
      </c>
      <c r="G26" s="1"/>
      <c r="H26" s="86" t="s">
        <v>196</v>
      </c>
      <c r="I26" s="4" t="s">
        <v>197</v>
      </c>
      <c r="J26" s="4" t="s">
        <v>183</v>
      </c>
      <c r="K26" s="4" t="s">
        <v>183</v>
      </c>
      <c r="L26" s="4" t="s">
        <v>183</v>
      </c>
      <c r="M26" s="1"/>
      <c r="N26" s="1"/>
      <c r="O26" s="6" t="s">
        <v>176</v>
      </c>
      <c r="P26" s="6" t="s">
        <v>176</v>
      </c>
      <c r="Q26" s="6" t="s">
        <v>176</v>
      </c>
      <c r="R26" s="6" t="s">
        <v>34</v>
      </c>
      <c r="S26" s="70">
        <v>1</v>
      </c>
      <c r="T26" s="106">
        <f>ROUND((AGRUPA_CARGO[[#This Row],[FTE TEORICO2]]*44),0)</f>
        <v>44</v>
      </c>
      <c r="W26" s="6"/>
      <c r="X26" s="6">
        <v>22</v>
      </c>
      <c r="Y26" s="6">
        <v>11</v>
      </c>
      <c r="Z26" s="6"/>
      <c r="AA26" s="6"/>
      <c r="AB26" s="6"/>
      <c r="AC26" s="6"/>
      <c r="AD26" s="6"/>
      <c r="AE26" s="4"/>
      <c r="AF26" s="4"/>
      <c r="AG26" s="4"/>
      <c r="AH26" s="16">
        <v>0</v>
      </c>
      <c r="AI26" s="16">
        <v>0</v>
      </c>
      <c r="AJ26" s="16">
        <v>0</v>
      </c>
      <c r="AK26" s="6" t="s">
        <v>193</v>
      </c>
    </row>
    <row r="27" spans="2:37">
      <c r="B27" s="4" t="s">
        <v>198</v>
      </c>
      <c r="C27" s="4" t="s">
        <v>199</v>
      </c>
      <c r="D27" s="4" t="s">
        <v>199</v>
      </c>
      <c r="E27" s="4" t="s">
        <v>38</v>
      </c>
      <c r="F27" s="4" t="s">
        <v>200</v>
      </c>
      <c r="G27" s="1"/>
      <c r="H27" s="86" t="s">
        <v>201</v>
      </c>
      <c r="I27" s="4" t="s">
        <v>202</v>
      </c>
      <c r="J27" s="4" t="s">
        <v>183</v>
      </c>
      <c r="K27" s="4" t="s">
        <v>183</v>
      </c>
      <c r="L27" s="4" t="s">
        <v>183</v>
      </c>
      <c r="M27" s="1"/>
      <c r="N27" s="1"/>
      <c r="O27" s="6" t="s">
        <v>203</v>
      </c>
      <c r="P27" s="6" t="s">
        <v>176</v>
      </c>
      <c r="Q27" s="6" t="s">
        <v>176</v>
      </c>
      <c r="R27" s="6" t="s">
        <v>34</v>
      </c>
      <c r="S27" s="70">
        <v>1</v>
      </c>
      <c r="T27" s="106">
        <f>ROUND((AGRUPA_CARGO[[#This Row],[FTE TEORICO2]]*44),0)</f>
        <v>44</v>
      </c>
    </row>
    <row r="28" spans="2:37">
      <c r="B28" s="4" t="s">
        <v>204</v>
      </c>
      <c r="C28" s="4" t="s">
        <v>205</v>
      </c>
      <c r="D28" s="4" t="s">
        <v>205</v>
      </c>
      <c r="E28" s="4" t="s">
        <v>38</v>
      </c>
      <c r="F28" s="7" t="s">
        <v>79</v>
      </c>
      <c r="G28" s="1"/>
      <c r="H28" s="86" t="s">
        <v>206</v>
      </c>
      <c r="I28" s="4" t="s">
        <v>207</v>
      </c>
      <c r="J28" s="4" t="s">
        <v>183</v>
      </c>
      <c r="K28" s="4" t="s">
        <v>183</v>
      </c>
      <c r="L28" s="4" t="s">
        <v>183</v>
      </c>
      <c r="M28" s="1"/>
      <c r="N28" s="1"/>
      <c r="O28" s="6" t="s">
        <v>208</v>
      </c>
      <c r="P28" s="6" t="s">
        <v>176</v>
      </c>
      <c r="Q28" s="6" t="s">
        <v>176</v>
      </c>
      <c r="R28" s="6" t="s">
        <v>34</v>
      </c>
      <c r="S28" s="70">
        <v>1</v>
      </c>
      <c r="T28" s="106">
        <f>ROUND((AGRUPA_CARGO[[#This Row],[FTE TEORICO2]]*44),0)</f>
        <v>44</v>
      </c>
    </row>
    <row r="29" spans="2:37">
      <c r="B29" s="4" t="s">
        <v>209</v>
      </c>
      <c r="C29" s="4" t="s">
        <v>210</v>
      </c>
      <c r="D29" s="4" t="s">
        <v>210</v>
      </c>
      <c r="E29" s="4" t="s">
        <v>38</v>
      </c>
      <c r="F29" s="7" t="s">
        <v>79</v>
      </c>
      <c r="G29" s="1"/>
      <c r="H29" s="86" t="s">
        <v>211</v>
      </c>
      <c r="I29" s="4" t="s">
        <v>212</v>
      </c>
      <c r="J29" s="4" t="s">
        <v>183</v>
      </c>
      <c r="K29" s="4" t="s">
        <v>183</v>
      </c>
      <c r="L29" s="4" t="s">
        <v>183</v>
      </c>
      <c r="M29" s="1"/>
      <c r="N29" s="1"/>
      <c r="O29" s="6" t="s">
        <v>213</v>
      </c>
      <c r="P29" s="6" t="s">
        <v>176</v>
      </c>
      <c r="Q29" s="6" t="s">
        <v>176</v>
      </c>
      <c r="R29" s="6" t="s">
        <v>34</v>
      </c>
      <c r="S29" s="70">
        <v>1</v>
      </c>
      <c r="T29" s="106">
        <f>ROUND((AGRUPA_CARGO[[#This Row],[FTE TEORICO2]]*44),0)</f>
        <v>44</v>
      </c>
    </row>
    <row r="30" spans="2:37">
      <c r="B30" s="4" t="s">
        <v>214</v>
      </c>
      <c r="C30" s="4" t="s">
        <v>215</v>
      </c>
      <c r="D30" s="4" t="s">
        <v>215</v>
      </c>
      <c r="E30" s="4" t="s">
        <v>38</v>
      </c>
      <c r="F30" s="7" t="s">
        <v>54</v>
      </c>
      <c r="G30" s="1"/>
      <c r="H30" s="86" t="s">
        <v>216</v>
      </c>
      <c r="I30" s="4" t="s">
        <v>217</v>
      </c>
      <c r="J30" s="4" t="s">
        <v>183</v>
      </c>
      <c r="K30" s="4" t="s">
        <v>183</v>
      </c>
      <c r="L30" s="4" t="s">
        <v>183</v>
      </c>
      <c r="M30" s="1"/>
      <c r="N30" s="1"/>
      <c r="O30" s="6" t="s">
        <v>218</v>
      </c>
      <c r="P30" s="6" t="s">
        <v>176</v>
      </c>
      <c r="Q30" s="6" t="s">
        <v>176</v>
      </c>
      <c r="R30" s="6" t="s">
        <v>34</v>
      </c>
      <c r="S30" s="70">
        <v>1</v>
      </c>
      <c r="T30" s="106">
        <f>ROUND((AGRUPA_CARGO[[#This Row],[FTE TEORICO2]]*44),0)</f>
        <v>44</v>
      </c>
    </row>
    <row r="31" spans="2:37">
      <c r="B31" s="4" t="s">
        <v>219</v>
      </c>
      <c r="C31" s="4" t="s">
        <v>220</v>
      </c>
      <c r="D31" s="4" t="s">
        <v>220</v>
      </c>
      <c r="E31" s="4" t="s">
        <v>38</v>
      </c>
      <c r="F31" s="4" t="s">
        <v>79</v>
      </c>
      <c r="G31" s="1"/>
      <c r="H31" s="86" t="s">
        <v>221</v>
      </c>
      <c r="I31" s="4" t="s">
        <v>222</v>
      </c>
      <c r="J31" s="4" t="s">
        <v>183</v>
      </c>
      <c r="K31" s="4" t="s">
        <v>183</v>
      </c>
      <c r="L31" s="4" t="s">
        <v>183</v>
      </c>
      <c r="M31" s="1"/>
      <c r="N31" s="1"/>
      <c r="O31" s="6" t="s">
        <v>223</v>
      </c>
      <c r="P31" s="6" t="s">
        <v>130</v>
      </c>
      <c r="Q31" s="6" t="s">
        <v>130</v>
      </c>
      <c r="R31" s="6" t="s">
        <v>34</v>
      </c>
      <c r="S31" s="70">
        <v>0.68</v>
      </c>
      <c r="T31" s="106">
        <f>ROUND((AGRUPA_CARGO[[#This Row],[FTE TEORICO2]]*44),0)</f>
        <v>30</v>
      </c>
    </row>
    <row r="32" spans="2:37">
      <c r="B32" s="4" t="s">
        <v>224</v>
      </c>
      <c r="C32" s="4" t="s">
        <v>225</v>
      </c>
      <c r="D32" s="4" t="s">
        <v>225</v>
      </c>
      <c r="E32" s="4" t="s">
        <v>38</v>
      </c>
      <c r="F32" s="7" t="s">
        <v>54</v>
      </c>
      <c r="G32" s="1"/>
      <c r="H32" s="86" t="s">
        <v>226</v>
      </c>
      <c r="I32" s="4" t="s">
        <v>227</v>
      </c>
      <c r="J32" s="4" t="s">
        <v>183</v>
      </c>
      <c r="K32" s="4" t="s">
        <v>183</v>
      </c>
      <c r="L32" s="4" t="s">
        <v>183</v>
      </c>
      <c r="M32" s="1"/>
      <c r="N32" s="1"/>
      <c r="O32" s="6" t="s">
        <v>228</v>
      </c>
      <c r="P32" s="49" t="s">
        <v>58</v>
      </c>
      <c r="Q32" s="49" t="s">
        <v>58</v>
      </c>
      <c r="R32" s="6" t="s">
        <v>34</v>
      </c>
      <c r="S32" s="70">
        <v>0.45</v>
      </c>
      <c r="T32" s="106">
        <f>ROUND((AGRUPA_CARGO[[#This Row],[FTE TEORICO2]]*44),0)</f>
        <v>20</v>
      </c>
      <c r="W32" s="10" t="s">
        <v>5</v>
      </c>
      <c r="X32" s="10" t="s">
        <v>20</v>
      </c>
    </row>
    <row r="33" spans="2:24">
      <c r="B33" s="4" t="s">
        <v>229</v>
      </c>
      <c r="C33" s="4" t="s">
        <v>230</v>
      </c>
      <c r="D33" s="4" t="s">
        <v>230</v>
      </c>
      <c r="E33" s="4" t="s">
        <v>38</v>
      </c>
      <c r="F33" s="4" t="s">
        <v>79</v>
      </c>
      <c r="G33" s="1"/>
      <c r="H33" s="86" t="s">
        <v>231</v>
      </c>
      <c r="I33" s="4" t="s">
        <v>232</v>
      </c>
      <c r="J33" s="4" t="s">
        <v>183</v>
      </c>
      <c r="K33" s="4" t="s">
        <v>183</v>
      </c>
      <c r="L33" s="4" t="s">
        <v>183</v>
      </c>
      <c r="M33" s="1"/>
      <c r="N33" s="1"/>
      <c r="O33" s="6" t="s">
        <v>233</v>
      </c>
      <c r="P33" s="6" t="s">
        <v>130</v>
      </c>
      <c r="Q33" s="6" t="s">
        <v>130</v>
      </c>
      <c r="R33" s="6" t="s">
        <v>34</v>
      </c>
      <c r="S33" s="70">
        <v>0.68</v>
      </c>
      <c r="T33" s="106">
        <f>ROUND((AGRUPA_CARGO[[#This Row],[FTE TEORICO2]]*44),0)</f>
        <v>30</v>
      </c>
      <c r="W33" s="5" t="s">
        <v>32</v>
      </c>
      <c r="X33" s="5">
        <v>4</v>
      </c>
    </row>
    <row r="34" spans="2:24">
      <c r="B34" s="4" t="s">
        <v>234</v>
      </c>
      <c r="C34" s="4" t="s">
        <v>235</v>
      </c>
      <c r="D34" s="4" t="s">
        <v>235</v>
      </c>
      <c r="E34" s="4" t="s">
        <v>38</v>
      </c>
      <c r="F34" s="4" t="s">
        <v>79</v>
      </c>
      <c r="G34" s="1"/>
      <c r="H34" s="86" t="s">
        <v>236</v>
      </c>
      <c r="I34" s="4" t="s">
        <v>237</v>
      </c>
      <c r="J34" s="4" t="s">
        <v>183</v>
      </c>
      <c r="K34" s="4" t="s">
        <v>183</v>
      </c>
      <c r="L34" s="4" t="s">
        <v>183</v>
      </c>
      <c r="M34" s="1"/>
      <c r="N34" s="1"/>
      <c r="O34" s="6" t="s">
        <v>238</v>
      </c>
      <c r="P34" s="6" t="s">
        <v>83</v>
      </c>
      <c r="Q34" s="6" t="s">
        <v>44</v>
      </c>
      <c r="R34" s="6" t="s">
        <v>34</v>
      </c>
      <c r="S34" s="70">
        <v>1</v>
      </c>
      <c r="T34" s="106">
        <f>ROUND((AGRUPA_CARGO[[#This Row],[FTE TEORICO2]]*44),0)</f>
        <v>44</v>
      </c>
      <c r="W34" s="5" t="s">
        <v>45</v>
      </c>
      <c r="X34" s="5">
        <v>5</v>
      </c>
    </row>
    <row r="35" spans="2:24">
      <c r="B35" s="4" t="s">
        <v>239</v>
      </c>
      <c r="C35" s="4" t="s">
        <v>240</v>
      </c>
      <c r="D35" s="4" t="s">
        <v>240</v>
      </c>
      <c r="E35" s="4" t="s">
        <v>38</v>
      </c>
      <c r="F35" s="4" t="s">
        <v>37</v>
      </c>
      <c r="G35" s="1"/>
      <c r="H35" s="86" t="s">
        <v>241</v>
      </c>
      <c r="I35" s="4" t="s">
        <v>242</v>
      </c>
      <c r="J35" s="4" t="s">
        <v>183</v>
      </c>
      <c r="K35" s="4" t="s">
        <v>183</v>
      </c>
      <c r="L35" s="4" t="s">
        <v>183</v>
      </c>
      <c r="M35" s="1"/>
      <c r="N35" s="1"/>
      <c r="O35" s="4" t="s">
        <v>243</v>
      </c>
      <c r="P35" s="6" t="s">
        <v>244</v>
      </c>
      <c r="Q35" s="6" t="s">
        <v>244</v>
      </c>
      <c r="R35" s="6" t="s">
        <v>34</v>
      </c>
      <c r="S35" s="70">
        <v>0.34</v>
      </c>
      <c r="T35" s="106">
        <f>ROUND((AGRUPA_CARGO[[#This Row],[FTE TEORICO2]]*44),0)</f>
        <v>15</v>
      </c>
      <c r="W35" s="5" t="s">
        <v>51</v>
      </c>
      <c r="X35" s="5">
        <v>6</v>
      </c>
    </row>
    <row r="36" spans="2:24">
      <c r="H36" s="86" t="s">
        <v>245</v>
      </c>
      <c r="I36" s="4" t="s">
        <v>246</v>
      </c>
      <c r="J36" s="4" t="s">
        <v>183</v>
      </c>
      <c r="K36" s="4" t="s">
        <v>183</v>
      </c>
      <c r="L36" s="4" t="s">
        <v>183</v>
      </c>
      <c r="O36" s="4" t="s">
        <v>247</v>
      </c>
      <c r="P36" s="6" t="s">
        <v>248</v>
      </c>
      <c r="Q36" s="6" t="s">
        <v>248</v>
      </c>
      <c r="R36" s="6" t="s">
        <v>34</v>
      </c>
      <c r="S36" s="70">
        <v>0.56000000000000005</v>
      </c>
      <c r="T36" s="106">
        <f>ROUND((AGRUPA_CARGO[[#This Row],[FTE TEORICO2]]*44),0)</f>
        <v>25</v>
      </c>
      <c r="W36" s="5" t="s">
        <v>59</v>
      </c>
      <c r="X36" s="5">
        <v>7</v>
      </c>
    </row>
    <row r="37" spans="2:24">
      <c r="H37" s="86" t="s">
        <v>249</v>
      </c>
      <c r="I37" s="4" t="s">
        <v>250</v>
      </c>
      <c r="J37" s="4" t="s">
        <v>183</v>
      </c>
      <c r="K37" s="4" t="s">
        <v>183</v>
      </c>
      <c r="L37" s="4" t="s">
        <v>183</v>
      </c>
      <c r="O37" s="4" t="s">
        <v>251</v>
      </c>
      <c r="P37" s="6" t="s">
        <v>244</v>
      </c>
      <c r="Q37" s="6" t="s">
        <v>244</v>
      </c>
      <c r="R37" s="6" t="s">
        <v>34</v>
      </c>
      <c r="S37" s="70">
        <v>0.34</v>
      </c>
      <c r="T37" s="106">
        <f>ROUND((AGRUPA_CARGO[[#This Row],[FTE TEORICO2]]*44),0)</f>
        <v>15</v>
      </c>
      <c r="W37" s="5" t="s">
        <v>68</v>
      </c>
      <c r="X37" s="5">
        <v>8</v>
      </c>
    </row>
    <row r="38" spans="2:24">
      <c r="H38" s="86" t="s">
        <v>252</v>
      </c>
      <c r="I38" s="4" t="s">
        <v>253</v>
      </c>
      <c r="J38" s="4" t="s">
        <v>183</v>
      </c>
      <c r="K38" s="4" t="s">
        <v>183</v>
      </c>
      <c r="L38" s="4" t="s">
        <v>183</v>
      </c>
      <c r="O38" s="4" t="s">
        <v>254</v>
      </c>
      <c r="P38" s="6" t="s">
        <v>248</v>
      </c>
      <c r="Q38" s="6" t="s">
        <v>248</v>
      </c>
      <c r="R38" s="6" t="s">
        <v>34</v>
      </c>
      <c r="S38" s="70">
        <v>0.56000000000000005</v>
      </c>
      <c r="T38" s="106">
        <f>ROUND((AGRUPA_CARGO[[#This Row],[FTE TEORICO2]]*44),0)</f>
        <v>25</v>
      </c>
      <c r="W38" s="5" t="s">
        <v>75</v>
      </c>
      <c r="X38" s="5">
        <v>9</v>
      </c>
    </row>
    <row r="39" spans="2:24">
      <c r="H39" s="86" t="s">
        <v>255</v>
      </c>
      <c r="I39" s="4" t="s">
        <v>256</v>
      </c>
      <c r="J39" s="4" t="s">
        <v>183</v>
      </c>
      <c r="K39" s="4" t="s">
        <v>183</v>
      </c>
      <c r="L39" s="4" t="s">
        <v>183</v>
      </c>
      <c r="O39" s="4" t="s">
        <v>257</v>
      </c>
      <c r="P39" s="6" t="s">
        <v>130</v>
      </c>
      <c r="Q39" s="6" t="s">
        <v>130</v>
      </c>
      <c r="R39" s="6" t="s">
        <v>34</v>
      </c>
      <c r="S39" s="70">
        <v>0.68</v>
      </c>
      <c r="T39" s="106">
        <f>ROUND((AGRUPA_CARGO[[#This Row],[FTE TEORICO2]]*44),0)</f>
        <v>30</v>
      </c>
      <c r="W39" s="5" t="s">
        <v>84</v>
      </c>
      <c r="X39" s="5">
        <v>10</v>
      </c>
    </row>
    <row r="40" spans="2:24">
      <c r="H40" s="86" t="s">
        <v>258</v>
      </c>
      <c r="I40" s="4" t="s">
        <v>259</v>
      </c>
      <c r="J40" s="4" t="s">
        <v>183</v>
      </c>
      <c r="K40" s="4" t="s">
        <v>183</v>
      </c>
      <c r="L40" s="4" t="s">
        <v>183</v>
      </c>
      <c r="O40" s="4" t="s">
        <v>260</v>
      </c>
      <c r="P40" s="4" t="s">
        <v>130</v>
      </c>
      <c r="Q40" s="6" t="s">
        <v>130</v>
      </c>
      <c r="R40" s="4" t="s">
        <v>34</v>
      </c>
      <c r="S40" s="70">
        <v>0.68</v>
      </c>
      <c r="T40" s="106">
        <f>ROUND((AGRUPA_CARGO[[#This Row],[FTE TEORICO2]]*44),0)</f>
        <v>30</v>
      </c>
      <c r="W40" s="5" t="s">
        <v>92</v>
      </c>
      <c r="X40" s="5">
        <v>11</v>
      </c>
    </row>
    <row r="41" spans="2:24">
      <c r="H41" s="86" t="s">
        <v>261</v>
      </c>
      <c r="I41" s="4" t="s">
        <v>262</v>
      </c>
      <c r="J41" s="4" t="s">
        <v>183</v>
      </c>
      <c r="K41" s="4" t="s">
        <v>183</v>
      </c>
      <c r="L41" s="4" t="s">
        <v>183</v>
      </c>
      <c r="O41" s="54" t="s">
        <v>58</v>
      </c>
      <c r="P41" s="49" t="s">
        <v>58</v>
      </c>
      <c r="Q41" s="49" t="s">
        <v>58</v>
      </c>
      <c r="R41" s="6" t="s">
        <v>34</v>
      </c>
      <c r="S41" s="70">
        <v>0.45</v>
      </c>
      <c r="T41" s="106">
        <f>ROUND((AGRUPA_CARGO[[#This Row],[FTE TEORICO2]]*44),0)</f>
        <v>20</v>
      </c>
      <c r="W41" s="5" t="s">
        <v>98</v>
      </c>
      <c r="X41" s="5">
        <v>12</v>
      </c>
    </row>
    <row r="42" spans="2:24">
      <c r="H42" s="86" t="s">
        <v>263</v>
      </c>
      <c r="I42" s="4" t="s">
        <v>264</v>
      </c>
      <c r="J42" s="4" t="s">
        <v>183</v>
      </c>
      <c r="K42" s="4" t="s">
        <v>183</v>
      </c>
      <c r="L42" s="4" t="s">
        <v>183</v>
      </c>
      <c r="O42" s="54" t="s">
        <v>130</v>
      </c>
      <c r="P42" s="6" t="s">
        <v>130</v>
      </c>
      <c r="Q42" s="6" t="s">
        <v>130</v>
      </c>
      <c r="R42" s="6" t="s">
        <v>34</v>
      </c>
      <c r="S42" s="70">
        <v>0.68</v>
      </c>
      <c r="T42" s="106">
        <f>ROUND((AGRUPA_CARGO[[#This Row],[FTE TEORICO2]]*44),0)</f>
        <v>30</v>
      </c>
      <c r="W42" s="5" t="s">
        <v>107</v>
      </c>
      <c r="X42" s="5">
        <v>13</v>
      </c>
    </row>
    <row r="43" spans="2:24">
      <c r="H43" s="86" t="s">
        <v>265</v>
      </c>
      <c r="I43" s="4" t="s">
        <v>266</v>
      </c>
      <c r="J43" s="4" t="s">
        <v>183</v>
      </c>
      <c r="K43" s="4" t="s">
        <v>183</v>
      </c>
      <c r="L43" s="4" t="s">
        <v>183</v>
      </c>
      <c r="O43" s="4" t="s">
        <v>267</v>
      </c>
      <c r="P43" s="6" t="s">
        <v>248</v>
      </c>
      <c r="Q43" s="6" t="s">
        <v>248</v>
      </c>
      <c r="R43" s="4" t="s">
        <v>34</v>
      </c>
      <c r="S43" s="70">
        <v>0.56000000000000005</v>
      </c>
      <c r="T43" s="106">
        <f>ROUND((AGRUPA_CARGO[[#This Row],[FTE TEORICO2]]*44),0)</f>
        <v>25</v>
      </c>
      <c r="W43" s="5" t="s">
        <v>113</v>
      </c>
      <c r="X43" s="5">
        <v>14</v>
      </c>
    </row>
    <row r="44" spans="2:24">
      <c r="H44" s="86" t="s">
        <v>268</v>
      </c>
      <c r="I44" s="4" t="s">
        <v>269</v>
      </c>
      <c r="J44" s="4" t="s">
        <v>183</v>
      </c>
      <c r="K44" s="4" t="s">
        <v>183</v>
      </c>
      <c r="L44" s="4" t="s">
        <v>183</v>
      </c>
      <c r="O44" s="4" t="s">
        <v>270</v>
      </c>
      <c r="P44" s="4" t="s">
        <v>130</v>
      </c>
      <c r="Q44" s="6" t="s">
        <v>130</v>
      </c>
      <c r="R44" s="4" t="s">
        <v>34</v>
      </c>
      <c r="S44" s="70">
        <v>0.68</v>
      </c>
      <c r="T44" s="106">
        <f>ROUND((AGRUPA_CARGO[[#This Row],[FTE TEORICO2]]*44),0)</f>
        <v>30</v>
      </c>
      <c r="W44" s="5" t="s">
        <v>121</v>
      </c>
      <c r="X44" s="5">
        <v>15</v>
      </c>
    </row>
    <row r="45" spans="2:24">
      <c r="H45" s="86" t="s">
        <v>271</v>
      </c>
      <c r="I45" s="4" t="s">
        <v>272</v>
      </c>
      <c r="J45" s="4" t="s">
        <v>183</v>
      </c>
      <c r="K45" s="4" t="s">
        <v>183</v>
      </c>
      <c r="L45" s="4" t="s">
        <v>183</v>
      </c>
      <c r="O45" s="4" t="s">
        <v>273</v>
      </c>
      <c r="P45" s="4" t="s">
        <v>130</v>
      </c>
      <c r="Q45" s="6" t="s">
        <v>130</v>
      </c>
      <c r="R45" s="4" t="s">
        <v>34</v>
      </c>
      <c r="S45" s="70">
        <v>0.68</v>
      </c>
      <c r="T45" s="106">
        <f>ROUND((AGRUPA_CARGO[[#This Row],[FTE TEORICO2]]*44),0)</f>
        <v>30</v>
      </c>
      <c r="W45" s="5" t="s">
        <v>131</v>
      </c>
      <c r="X45" s="5">
        <v>15</v>
      </c>
    </row>
    <row r="46" spans="2:24">
      <c r="H46" s="86" t="s">
        <v>274</v>
      </c>
      <c r="I46" s="4" t="s">
        <v>275</v>
      </c>
      <c r="J46" s="4" t="s">
        <v>183</v>
      </c>
      <c r="K46" s="4" t="s">
        <v>183</v>
      </c>
      <c r="L46" s="4" t="s">
        <v>183</v>
      </c>
      <c r="O46" s="4" t="s">
        <v>276</v>
      </c>
      <c r="P46" s="4" t="s">
        <v>58</v>
      </c>
      <c r="Q46" s="49" t="s">
        <v>58</v>
      </c>
      <c r="R46" s="4" t="s">
        <v>34</v>
      </c>
      <c r="S46" s="70">
        <v>0.45</v>
      </c>
      <c r="T46" s="106">
        <f>ROUND((AGRUPA_CARGO[[#This Row],[FTE TEORICO2]]*44),0)</f>
        <v>20</v>
      </c>
      <c r="W46" s="5" t="s">
        <v>138</v>
      </c>
      <c r="X46" s="5" t="s">
        <v>139</v>
      </c>
    </row>
    <row r="47" spans="2:24">
      <c r="H47" s="86" t="s">
        <v>277</v>
      </c>
      <c r="I47" s="4" t="s">
        <v>278</v>
      </c>
      <c r="J47" s="4" t="s">
        <v>183</v>
      </c>
      <c r="K47" s="4" t="s">
        <v>183</v>
      </c>
      <c r="L47" s="4" t="s">
        <v>183</v>
      </c>
      <c r="O47" s="4" t="s">
        <v>137</v>
      </c>
      <c r="P47" s="4" t="s">
        <v>137</v>
      </c>
      <c r="Q47" s="6" t="s">
        <v>137</v>
      </c>
      <c r="R47" s="4" t="s">
        <v>34</v>
      </c>
      <c r="S47" s="70">
        <v>1</v>
      </c>
      <c r="T47" s="106">
        <f>ROUND((AGRUPA_CARGO[[#This Row],[FTE TEORICO2]]*44),0)</f>
        <v>44</v>
      </c>
      <c r="W47" s="5" t="s">
        <v>147</v>
      </c>
      <c r="X47" s="5" t="s">
        <v>148</v>
      </c>
    </row>
    <row r="48" spans="2:24">
      <c r="H48" s="86" t="s">
        <v>279</v>
      </c>
      <c r="I48" s="4" t="s">
        <v>280</v>
      </c>
      <c r="J48" s="4" t="s">
        <v>183</v>
      </c>
      <c r="K48" s="4" t="s">
        <v>183</v>
      </c>
      <c r="L48" s="4" t="s">
        <v>183</v>
      </c>
      <c r="O48" t="s">
        <v>281</v>
      </c>
      <c r="P48" s="6" t="s">
        <v>130</v>
      </c>
      <c r="Q48" s="6" t="s">
        <v>130</v>
      </c>
      <c r="R48" s="6" t="s">
        <v>34</v>
      </c>
      <c r="S48" s="70">
        <v>0.68</v>
      </c>
      <c r="T48" s="106">
        <f>ROUND((AGRUPA_CARGO[[#This Row],[FTE TEORICO2]]*44),0)</f>
        <v>30</v>
      </c>
      <c r="W48" s="5" t="s">
        <v>155</v>
      </c>
      <c r="X48" s="5" t="s">
        <v>156</v>
      </c>
    </row>
    <row r="49" spans="2:24" ht="15.75">
      <c r="B49" s="25" t="s">
        <v>282</v>
      </c>
      <c r="C49" s="25" t="s">
        <v>283</v>
      </c>
      <c r="D49" s="25" t="s">
        <v>284</v>
      </c>
      <c r="E49" s="25" t="s">
        <v>285</v>
      </c>
      <c r="H49" s="86" t="s">
        <v>286</v>
      </c>
      <c r="I49" s="4" t="s">
        <v>287</v>
      </c>
      <c r="J49" s="4" t="s">
        <v>183</v>
      </c>
      <c r="K49" s="4" t="s">
        <v>183</v>
      </c>
      <c r="L49" s="4" t="s">
        <v>183</v>
      </c>
      <c r="O49" s="4" t="s">
        <v>288</v>
      </c>
      <c r="P49" s="4" t="s">
        <v>289</v>
      </c>
      <c r="Q49" s="6" t="s">
        <v>248</v>
      </c>
      <c r="R49" s="6" t="s">
        <v>34</v>
      </c>
      <c r="S49" s="70">
        <v>0.56000000000000005</v>
      </c>
      <c r="T49" s="106">
        <f>ROUND((AGRUPA_CARGO[[#This Row],[FTE TEORICO2]]*44),0)</f>
        <v>25</v>
      </c>
      <c r="W49" s="5" t="s">
        <v>162</v>
      </c>
      <c r="X49" s="5" t="s">
        <v>156</v>
      </c>
    </row>
    <row r="50" spans="2:24">
      <c r="B50" s="20" t="s">
        <v>290</v>
      </c>
      <c r="C50" s="26" t="s">
        <v>291</v>
      </c>
      <c r="D50" s="27">
        <v>61010101</v>
      </c>
      <c r="E50" s="24" t="s">
        <v>292</v>
      </c>
      <c r="H50" s="86" t="s">
        <v>293</v>
      </c>
      <c r="I50" s="4" t="s">
        <v>294</v>
      </c>
      <c r="J50" s="4" t="s">
        <v>183</v>
      </c>
      <c r="K50" s="4" t="s">
        <v>183</v>
      </c>
      <c r="L50" s="4" t="s">
        <v>183</v>
      </c>
      <c r="O50" s="4" t="s">
        <v>295</v>
      </c>
      <c r="P50" s="4" t="s">
        <v>296</v>
      </c>
      <c r="Q50" s="6" t="s">
        <v>248</v>
      </c>
      <c r="R50" s="6" t="s">
        <v>34</v>
      </c>
      <c r="S50" s="70">
        <v>0.56000000000000005</v>
      </c>
      <c r="T50" s="106">
        <f>ROUND((AGRUPA_CARGO[[#This Row],[FTE TEORICO2]]*44),0)</f>
        <v>25</v>
      </c>
      <c r="W50" s="5" t="s">
        <v>169</v>
      </c>
      <c r="X50" s="5" t="s">
        <v>170</v>
      </c>
    </row>
    <row r="51" spans="2:24">
      <c r="B51" s="20" t="s">
        <v>297</v>
      </c>
      <c r="C51" s="26" t="s">
        <v>291</v>
      </c>
      <c r="D51" s="27">
        <v>61010102</v>
      </c>
      <c r="E51" s="24" t="s">
        <v>298</v>
      </c>
      <c r="H51" s="86" t="s">
        <v>299</v>
      </c>
      <c r="I51" s="4" t="s">
        <v>300</v>
      </c>
      <c r="J51" s="4" t="s">
        <v>183</v>
      </c>
      <c r="K51" s="4" t="s">
        <v>183</v>
      </c>
      <c r="L51" s="4" t="s">
        <v>183</v>
      </c>
      <c r="O51" s="4" t="s">
        <v>301</v>
      </c>
      <c r="P51" s="4" t="s">
        <v>302</v>
      </c>
      <c r="Q51" s="6" t="s">
        <v>248</v>
      </c>
      <c r="R51" s="6" t="s">
        <v>34</v>
      </c>
      <c r="S51" s="70">
        <v>0.56000000000000005</v>
      </c>
      <c r="T51" s="106">
        <f>ROUND((AGRUPA_CARGO[[#This Row],[FTE TEORICO2]]*44),0)</f>
        <v>25</v>
      </c>
      <c r="W51" s="5" t="s">
        <v>177</v>
      </c>
      <c r="X51" s="5" t="s">
        <v>178</v>
      </c>
    </row>
    <row r="52" spans="2:24">
      <c r="B52" s="20" t="s">
        <v>303</v>
      </c>
      <c r="C52" s="28" t="s">
        <v>304</v>
      </c>
      <c r="D52" s="27">
        <v>61010106</v>
      </c>
      <c r="E52" s="24" t="s">
        <v>305</v>
      </c>
      <c r="H52" s="86" t="s">
        <v>306</v>
      </c>
      <c r="I52" s="4" t="s">
        <v>307</v>
      </c>
      <c r="J52" s="4" t="s">
        <v>183</v>
      </c>
      <c r="K52" s="4" t="s">
        <v>183</v>
      </c>
      <c r="L52" s="4" t="s">
        <v>183</v>
      </c>
      <c r="O52" s="63" t="s">
        <v>308</v>
      </c>
      <c r="P52" s="63" t="s">
        <v>302</v>
      </c>
      <c r="Q52" s="6" t="s">
        <v>248</v>
      </c>
      <c r="R52" s="6" t="s">
        <v>34</v>
      </c>
      <c r="S52" s="70">
        <v>0.56000000000000005</v>
      </c>
      <c r="T52" s="106">
        <f>ROUND((AGRUPA_CARGO[[#This Row],[FTE TEORICO2]]*44),0)</f>
        <v>25</v>
      </c>
    </row>
    <row r="53" spans="2:24">
      <c r="B53" s="20" t="s">
        <v>309</v>
      </c>
      <c r="C53" s="28" t="s">
        <v>304</v>
      </c>
      <c r="D53" s="27">
        <v>61010105</v>
      </c>
      <c r="E53" s="24" t="s">
        <v>310</v>
      </c>
      <c r="H53" s="86" t="s">
        <v>311</v>
      </c>
      <c r="I53" s="4" t="s">
        <v>312</v>
      </c>
      <c r="J53" s="4" t="s">
        <v>183</v>
      </c>
      <c r="K53" s="4" t="s">
        <v>183</v>
      </c>
      <c r="L53" s="4" t="s">
        <v>183</v>
      </c>
      <c r="O53" s="63" t="s">
        <v>313</v>
      </c>
      <c r="P53" s="6" t="s">
        <v>314</v>
      </c>
      <c r="Q53" s="6" t="s">
        <v>130</v>
      </c>
      <c r="R53" s="6" t="s">
        <v>34</v>
      </c>
      <c r="S53" s="70">
        <v>0.68</v>
      </c>
      <c r="T53" s="106">
        <f>ROUND((AGRUPA_CARGO[[#This Row],[FTE TEORICO2]]*44),0)</f>
        <v>30</v>
      </c>
    </row>
    <row r="54" spans="2:24">
      <c r="B54" s="20" t="s">
        <v>315</v>
      </c>
      <c r="C54" s="28" t="s">
        <v>304</v>
      </c>
      <c r="D54" s="27">
        <v>61010105</v>
      </c>
      <c r="E54" s="24" t="s">
        <v>310</v>
      </c>
      <c r="H54" s="86" t="s">
        <v>316</v>
      </c>
      <c r="I54" s="4" t="s">
        <v>317</v>
      </c>
      <c r="J54" s="4" t="s">
        <v>183</v>
      </c>
      <c r="K54" s="4" t="s">
        <v>183</v>
      </c>
      <c r="L54" s="4" t="s">
        <v>183</v>
      </c>
      <c r="O54" s="63" t="s">
        <v>318</v>
      </c>
      <c r="P54" s="6" t="s">
        <v>314</v>
      </c>
      <c r="Q54" s="6" t="s">
        <v>130</v>
      </c>
      <c r="R54" s="6" t="s">
        <v>34</v>
      </c>
      <c r="S54" s="70">
        <v>0.68</v>
      </c>
      <c r="T54" s="106">
        <f>ROUND((AGRUPA_CARGO[[#This Row],[FTE TEORICO2]]*44),0)</f>
        <v>30</v>
      </c>
    </row>
    <row r="55" spans="2:24">
      <c r="B55" s="20" t="s">
        <v>319</v>
      </c>
      <c r="C55" s="28" t="s">
        <v>304</v>
      </c>
      <c r="D55" s="27">
        <v>61010105</v>
      </c>
      <c r="E55" s="24" t="s">
        <v>310</v>
      </c>
      <c r="H55" s="86" t="s">
        <v>320</v>
      </c>
      <c r="I55" s="4" t="s">
        <v>321</v>
      </c>
      <c r="J55" s="4" t="s">
        <v>183</v>
      </c>
      <c r="K55" s="4" t="s">
        <v>183</v>
      </c>
      <c r="L55" s="4" t="s">
        <v>183</v>
      </c>
      <c r="O55" s="63" t="s">
        <v>322</v>
      </c>
      <c r="P55" s="6" t="s">
        <v>44</v>
      </c>
      <c r="Q55" s="6" t="s">
        <v>44</v>
      </c>
      <c r="R55" s="6" t="s">
        <v>34</v>
      </c>
      <c r="S55" s="71">
        <v>1</v>
      </c>
      <c r="T55" s="106">
        <f>ROUND((AGRUPA_CARGO[[#This Row],[FTE TEORICO2]]*44),0)</f>
        <v>44</v>
      </c>
    </row>
    <row r="56" spans="2:24">
      <c r="B56" s="20" t="s">
        <v>323</v>
      </c>
      <c r="C56" s="28" t="s">
        <v>304</v>
      </c>
      <c r="D56" s="27">
        <v>61010105</v>
      </c>
      <c r="E56" s="24" t="s">
        <v>310</v>
      </c>
      <c r="H56" s="86" t="s">
        <v>324</v>
      </c>
      <c r="I56" s="4" t="s">
        <v>325</v>
      </c>
      <c r="J56" s="4" t="s">
        <v>183</v>
      </c>
      <c r="K56" s="4" t="s">
        <v>183</v>
      </c>
      <c r="L56" s="4" t="s">
        <v>183</v>
      </c>
      <c r="O56" s="117" t="s">
        <v>326</v>
      </c>
      <c r="P56" s="63" t="s">
        <v>326</v>
      </c>
      <c r="Q56" s="6" t="s">
        <v>137</v>
      </c>
      <c r="R56" s="6" t="s">
        <v>34</v>
      </c>
      <c r="S56" s="71">
        <v>1</v>
      </c>
      <c r="T56" s="106">
        <f>ROUND((AGRUPA_CARGO[[#This Row],[FTE TEORICO2]]*44),0)</f>
        <v>44</v>
      </c>
    </row>
    <row r="57" spans="2:24">
      <c r="B57" s="20" t="s">
        <v>327</v>
      </c>
      <c r="C57" s="28" t="s">
        <v>304</v>
      </c>
      <c r="D57" s="27">
        <v>61010105</v>
      </c>
      <c r="E57" s="24" t="s">
        <v>310</v>
      </c>
      <c r="H57" s="86" t="s">
        <v>328</v>
      </c>
      <c r="I57" s="4" t="s">
        <v>329</v>
      </c>
      <c r="J57" s="4" t="s">
        <v>183</v>
      </c>
      <c r="K57" s="4" t="s">
        <v>183</v>
      </c>
      <c r="L57" s="4" t="s">
        <v>183</v>
      </c>
      <c r="O57" s="118" t="s">
        <v>330</v>
      </c>
      <c r="P57" s="6" t="s">
        <v>314</v>
      </c>
      <c r="Q57" s="6" t="s">
        <v>130</v>
      </c>
      <c r="R57" s="6" t="s">
        <v>34</v>
      </c>
      <c r="S57" s="71">
        <v>0.68</v>
      </c>
      <c r="T57" s="106">
        <f>ROUND((AGRUPA_CARGO[[#This Row],[FTE TEORICO2]]*44),0)</f>
        <v>30</v>
      </c>
    </row>
    <row r="58" spans="2:24">
      <c r="B58" s="20" t="s">
        <v>331</v>
      </c>
      <c r="C58" s="28" t="s">
        <v>304</v>
      </c>
      <c r="D58" s="27">
        <v>61010105</v>
      </c>
      <c r="E58" s="24" t="s">
        <v>310</v>
      </c>
      <c r="H58" s="86" t="s">
        <v>332</v>
      </c>
      <c r="I58" s="4" t="s">
        <v>333</v>
      </c>
      <c r="J58" s="4" t="s">
        <v>183</v>
      </c>
      <c r="K58" s="4" t="s">
        <v>183</v>
      </c>
      <c r="L58" s="4" t="s">
        <v>183</v>
      </c>
      <c r="O58" s="63" t="s">
        <v>334</v>
      </c>
      <c r="P58" s="6" t="s">
        <v>314</v>
      </c>
      <c r="Q58" s="6" t="s">
        <v>130</v>
      </c>
      <c r="R58" s="6" t="s">
        <v>34</v>
      </c>
      <c r="S58" s="71">
        <v>0.68</v>
      </c>
      <c r="T58" s="106">
        <f>ROUND((AGRUPA_CARGO[[#This Row],[FTE TEORICO2]]*44),0)</f>
        <v>30</v>
      </c>
    </row>
    <row r="59" spans="2:24">
      <c r="B59" s="20" t="s">
        <v>335</v>
      </c>
      <c r="C59" s="28" t="s">
        <v>304</v>
      </c>
      <c r="D59" s="27">
        <v>61010105</v>
      </c>
      <c r="E59" s="24" t="s">
        <v>310</v>
      </c>
      <c r="H59" s="86" t="s">
        <v>336</v>
      </c>
      <c r="I59" s="4" t="s">
        <v>337</v>
      </c>
      <c r="J59" s="4" t="s">
        <v>183</v>
      </c>
      <c r="K59" s="4" t="s">
        <v>183</v>
      </c>
      <c r="L59" s="4" t="s">
        <v>183</v>
      </c>
      <c r="O59" s="63" t="s">
        <v>338</v>
      </c>
      <c r="P59" s="6" t="s">
        <v>314</v>
      </c>
      <c r="Q59" s="6" t="s">
        <v>130</v>
      </c>
      <c r="R59" s="6" t="s">
        <v>34</v>
      </c>
      <c r="S59" s="72">
        <v>0.68</v>
      </c>
      <c r="T59" s="106">
        <f>ROUND((AGRUPA_CARGO[[#This Row],[FTE TEORICO2]]*44),0)</f>
        <v>30</v>
      </c>
    </row>
    <row r="60" spans="2:24">
      <c r="B60" s="20" t="s">
        <v>339</v>
      </c>
      <c r="C60" s="29" t="s">
        <v>340</v>
      </c>
      <c r="D60" s="27">
        <v>61010103</v>
      </c>
      <c r="E60" s="24" t="s">
        <v>341</v>
      </c>
      <c r="H60" s="86" t="s">
        <v>342</v>
      </c>
      <c r="I60" s="4" t="s">
        <v>343</v>
      </c>
      <c r="J60" s="4" t="s">
        <v>183</v>
      </c>
      <c r="K60" s="4" t="s">
        <v>183</v>
      </c>
      <c r="L60" s="4" t="s">
        <v>183</v>
      </c>
      <c r="O60" s="54" t="s">
        <v>344</v>
      </c>
      <c r="P60" s="66" t="s">
        <v>130</v>
      </c>
      <c r="Q60" s="6" t="s">
        <v>130</v>
      </c>
      <c r="R60" s="6" t="s">
        <v>34</v>
      </c>
      <c r="S60" s="72">
        <v>0.68</v>
      </c>
      <c r="T60" s="106">
        <f>ROUND((AGRUPA_CARGO[[#This Row],[FTE TEORICO2]]*44),0)</f>
        <v>30</v>
      </c>
    </row>
    <row r="61" spans="2:24">
      <c r="B61" s="20" t="s">
        <v>345</v>
      </c>
      <c r="C61" s="30" t="s">
        <v>346</v>
      </c>
      <c r="D61" s="30" t="s">
        <v>346</v>
      </c>
      <c r="E61" s="30" t="s">
        <v>346</v>
      </c>
      <c r="H61" s="86" t="s">
        <v>347</v>
      </c>
      <c r="I61" s="4" t="s">
        <v>348</v>
      </c>
      <c r="J61" s="4" t="s">
        <v>183</v>
      </c>
      <c r="K61" s="4" t="s">
        <v>183</v>
      </c>
      <c r="L61" s="4" t="s">
        <v>183</v>
      </c>
      <c r="O61" s="54" t="s">
        <v>349</v>
      </c>
      <c r="P61" s="6" t="s">
        <v>314</v>
      </c>
      <c r="Q61" s="6" t="s">
        <v>130</v>
      </c>
      <c r="R61" s="6" t="s">
        <v>34</v>
      </c>
      <c r="S61" s="72">
        <v>0.68</v>
      </c>
      <c r="T61" s="106">
        <f>ROUND((AGRUPA_CARGO[[#This Row],[FTE TEORICO2]]*44),0)</f>
        <v>30</v>
      </c>
    </row>
    <row r="62" spans="2:24">
      <c r="B62" s="20" t="s">
        <v>350</v>
      </c>
      <c r="C62" s="30" t="s">
        <v>346</v>
      </c>
      <c r="D62" s="30" t="s">
        <v>346</v>
      </c>
      <c r="E62" s="30" t="s">
        <v>346</v>
      </c>
      <c r="H62" s="86" t="s">
        <v>351</v>
      </c>
      <c r="I62" s="4" t="s">
        <v>352</v>
      </c>
      <c r="J62" s="4" t="s">
        <v>183</v>
      </c>
      <c r="K62" s="4" t="s">
        <v>183</v>
      </c>
      <c r="L62" s="4" t="s">
        <v>183</v>
      </c>
      <c r="O62" s="54" t="s">
        <v>338</v>
      </c>
      <c r="P62" s="6" t="s">
        <v>314</v>
      </c>
      <c r="Q62" s="6" t="s">
        <v>130</v>
      </c>
      <c r="R62" s="6" t="s">
        <v>34</v>
      </c>
      <c r="S62" s="72">
        <v>0.68</v>
      </c>
      <c r="T62" s="106">
        <f>ROUND((AGRUPA_CARGO[[#This Row],[FTE TEORICO2]]*44),0)</f>
        <v>30</v>
      </c>
    </row>
    <row r="63" spans="2:24">
      <c r="B63" s="20" t="s">
        <v>353</v>
      </c>
      <c r="C63" s="31" t="s">
        <v>304</v>
      </c>
      <c r="D63" s="27">
        <v>61010132</v>
      </c>
      <c r="E63" s="24" t="s">
        <v>354</v>
      </c>
      <c r="H63" s="86" t="s">
        <v>355</v>
      </c>
      <c r="I63" s="4" t="s">
        <v>356</v>
      </c>
      <c r="J63" s="4" t="s">
        <v>183</v>
      </c>
      <c r="K63" s="4" t="s">
        <v>183</v>
      </c>
      <c r="L63" s="4" t="s">
        <v>183</v>
      </c>
      <c r="O63" s="119" t="s">
        <v>248</v>
      </c>
      <c r="P63" s="4" t="s">
        <v>302</v>
      </c>
      <c r="Q63" s="6" t="s">
        <v>248</v>
      </c>
      <c r="R63" s="6" t="s">
        <v>34</v>
      </c>
      <c r="S63" s="70">
        <v>0.56000000000000005</v>
      </c>
      <c r="T63" s="106">
        <f>ROUND((AGRUPA_CARGO[[#This Row],[FTE TEORICO2]]*44),0)</f>
        <v>25</v>
      </c>
    </row>
    <row r="64" spans="2:24">
      <c r="B64" s="20" t="s">
        <v>357</v>
      </c>
      <c r="C64" s="32" t="s">
        <v>340</v>
      </c>
      <c r="D64" s="27">
        <v>61010103</v>
      </c>
      <c r="E64" s="24" t="s">
        <v>341</v>
      </c>
      <c r="H64" s="86" t="s">
        <v>358</v>
      </c>
      <c r="I64" s="4" t="s">
        <v>359</v>
      </c>
      <c r="J64" s="4" t="s">
        <v>183</v>
      </c>
      <c r="K64" s="4" t="s">
        <v>183</v>
      </c>
      <c r="L64" s="4" t="s">
        <v>183</v>
      </c>
      <c r="O64" s="54" t="s">
        <v>344</v>
      </c>
      <c r="P64" s="67" t="s">
        <v>130</v>
      </c>
      <c r="Q64" s="68" t="s">
        <v>130</v>
      </c>
      <c r="R64" s="68" t="s">
        <v>34</v>
      </c>
      <c r="S64" s="71">
        <v>0.68</v>
      </c>
      <c r="T64" s="106">
        <f>ROUND((AGRUPA_CARGO[[#This Row],[FTE TEORICO2]]*44),0)</f>
        <v>30</v>
      </c>
    </row>
    <row r="65" spans="2:20">
      <c r="B65" s="20"/>
      <c r="C65" s="32"/>
      <c r="D65" s="27"/>
      <c r="E65" s="24"/>
      <c r="H65" s="3"/>
      <c r="I65" s="4"/>
      <c r="J65" s="4"/>
      <c r="K65" s="4"/>
      <c r="L65" s="4"/>
      <c r="O65" t="s">
        <v>244</v>
      </c>
      <c r="P65" s="66" t="s">
        <v>244</v>
      </c>
      <c r="Q65" s="6" t="s">
        <v>244</v>
      </c>
      <c r="R65" s="6" t="s">
        <v>34</v>
      </c>
      <c r="S65" s="71">
        <v>0.34</v>
      </c>
      <c r="T65" s="106">
        <f>ROUND((AGRUPA_CARGO[[#This Row],[FTE TEORICO2]]*44),0)</f>
        <v>15</v>
      </c>
    </row>
    <row r="66" spans="2:20">
      <c r="B66" s="20"/>
      <c r="C66" s="32"/>
      <c r="D66" s="27"/>
      <c r="E66" s="24"/>
      <c r="H66" s="3"/>
      <c r="I66" s="4"/>
      <c r="J66" s="4"/>
      <c r="K66" s="4"/>
      <c r="L66" s="4"/>
      <c r="O66" t="s">
        <v>83</v>
      </c>
      <c r="P66" s="66" t="s">
        <v>83</v>
      </c>
      <c r="Q66" s="6" t="s">
        <v>44</v>
      </c>
      <c r="R66" s="6" t="s">
        <v>34</v>
      </c>
      <c r="S66" s="71">
        <v>1</v>
      </c>
      <c r="T66" s="106">
        <f>ROUND((AGRUPA_CARGO[[#This Row],[FTE TEORICO2]]*44),0)</f>
        <v>44</v>
      </c>
    </row>
    <row r="67" spans="2:20">
      <c r="B67" s="20"/>
      <c r="C67" s="32"/>
      <c r="D67" s="27"/>
      <c r="E67" s="24"/>
      <c r="H67" s="3"/>
      <c r="I67" s="4"/>
      <c r="J67" s="4"/>
      <c r="K67" s="4"/>
      <c r="L67" s="4"/>
      <c r="O67" t="s">
        <v>360</v>
      </c>
      <c r="P67" s="6" t="s">
        <v>44</v>
      </c>
      <c r="Q67" s="6" t="s">
        <v>44</v>
      </c>
      <c r="R67" s="6" t="s">
        <v>34</v>
      </c>
      <c r="S67" s="70">
        <v>1</v>
      </c>
      <c r="T67" s="106">
        <f>ROUND((AGRUPA_CARGO[[#This Row],[FTE TEORICO2]]*44),0)</f>
        <v>44</v>
      </c>
    </row>
    <row r="68" spans="2:20">
      <c r="B68" s="20"/>
      <c r="C68" s="32"/>
      <c r="D68" s="27"/>
      <c r="E68" s="24"/>
      <c r="H68" s="3"/>
      <c r="I68" s="4"/>
      <c r="J68" s="4"/>
      <c r="K68" s="4"/>
      <c r="L68" s="4"/>
      <c r="O68" t="s">
        <v>361</v>
      </c>
      <c r="P68" s="4" t="s">
        <v>302</v>
      </c>
      <c r="Q68" s="6" t="s">
        <v>248</v>
      </c>
      <c r="R68" s="6" t="s">
        <v>34</v>
      </c>
      <c r="S68" s="70">
        <v>0.56000000000000005</v>
      </c>
      <c r="T68" s="106">
        <f>ROUND((AGRUPA_CARGO[[#This Row],[FTE TEORICO2]]*44),0)</f>
        <v>25</v>
      </c>
    </row>
    <row r="69" spans="2:20">
      <c r="B69" s="20" t="s">
        <v>362</v>
      </c>
      <c r="C69" s="21" t="s">
        <v>363</v>
      </c>
      <c r="D69" s="27">
        <v>61010202</v>
      </c>
      <c r="E69" s="24" t="s">
        <v>364</v>
      </c>
      <c r="H69" s="3" t="s">
        <v>365</v>
      </c>
      <c r="I69" s="4" t="s">
        <v>366</v>
      </c>
      <c r="J69" s="4" t="s">
        <v>183</v>
      </c>
      <c r="K69" s="4" t="s">
        <v>183</v>
      </c>
      <c r="L69" s="4" t="s">
        <v>183</v>
      </c>
      <c r="P69" s="4"/>
      <c r="Q69" s="6"/>
      <c r="R69" s="6"/>
      <c r="S69" s="6"/>
      <c r="T69" s="70"/>
    </row>
    <row r="70" spans="2:20">
      <c r="B70" s="20" t="s">
        <v>367</v>
      </c>
      <c r="C70" s="30" t="s">
        <v>346</v>
      </c>
      <c r="D70" s="30" t="s">
        <v>346</v>
      </c>
      <c r="E70" s="30" t="s">
        <v>346</v>
      </c>
      <c r="H70" s="3" t="s">
        <v>368</v>
      </c>
      <c r="I70" s="4" t="s">
        <v>369</v>
      </c>
      <c r="J70" s="4" t="s">
        <v>183</v>
      </c>
      <c r="K70" s="4" t="s">
        <v>183</v>
      </c>
      <c r="L70" s="4" t="s">
        <v>183</v>
      </c>
    </row>
    <row r="71" spans="2:20">
      <c r="B71" s="20" t="s">
        <v>370</v>
      </c>
      <c r="C71" s="33" t="s">
        <v>291</v>
      </c>
      <c r="D71" s="27">
        <v>61010117</v>
      </c>
      <c r="E71" s="24" t="s">
        <v>371</v>
      </c>
      <c r="H71" s="3" t="s">
        <v>372</v>
      </c>
      <c r="I71" s="4" t="s">
        <v>373</v>
      </c>
      <c r="J71" s="4" t="s">
        <v>183</v>
      </c>
      <c r="K71" s="4" t="s">
        <v>183</v>
      </c>
      <c r="L71" s="4" t="s">
        <v>183</v>
      </c>
    </row>
    <row r="72" spans="2:20">
      <c r="B72" s="20" t="s">
        <v>374</v>
      </c>
      <c r="C72" s="33" t="s">
        <v>291</v>
      </c>
      <c r="D72" s="27">
        <v>61010118</v>
      </c>
      <c r="E72" s="24" t="s">
        <v>375</v>
      </c>
      <c r="H72" s="3" t="s">
        <v>376</v>
      </c>
      <c r="I72" s="4" t="s">
        <v>377</v>
      </c>
      <c r="J72" s="4" t="s">
        <v>183</v>
      </c>
      <c r="K72" s="4" t="s">
        <v>183</v>
      </c>
      <c r="L72" s="4" t="s">
        <v>183</v>
      </c>
    </row>
    <row r="73" spans="2:20">
      <c r="B73" s="20" t="s">
        <v>378</v>
      </c>
      <c r="C73" s="18" t="s">
        <v>379</v>
      </c>
      <c r="D73" s="27">
        <v>61010123</v>
      </c>
      <c r="E73" s="24" t="s">
        <v>380</v>
      </c>
      <c r="H73" s="3" t="s">
        <v>381</v>
      </c>
      <c r="I73" s="4" t="s">
        <v>382</v>
      </c>
      <c r="J73" s="4" t="s">
        <v>183</v>
      </c>
      <c r="K73" s="4" t="s">
        <v>183</v>
      </c>
      <c r="L73" s="4" t="s">
        <v>183</v>
      </c>
    </row>
    <row r="74" spans="2:20">
      <c r="B74" s="20" t="s">
        <v>383</v>
      </c>
      <c r="C74" s="23"/>
      <c r="D74" s="27">
        <v>61010123</v>
      </c>
      <c r="E74" s="24" t="s">
        <v>380</v>
      </c>
      <c r="H74" s="3" t="s">
        <v>384</v>
      </c>
      <c r="I74" s="4" t="s">
        <v>385</v>
      </c>
      <c r="J74" s="4" t="s">
        <v>183</v>
      </c>
      <c r="K74" s="4" t="s">
        <v>183</v>
      </c>
      <c r="L74" s="4" t="s">
        <v>183</v>
      </c>
    </row>
    <row r="75" spans="2:20">
      <c r="B75" s="20" t="s">
        <v>386</v>
      </c>
      <c r="C75" s="23"/>
      <c r="D75" s="27">
        <v>61010123</v>
      </c>
      <c r="E75" s="24" t="s">
        <v>380</v>
      </c>
      <c r="H75" s="3" t="s">
        <v>387</v>
      </c>
      <c r="I75" s="4" t="s">
        <v>388</v>
      </c>
      <c r="J75" s="4" t="s">
        <v>183</v>
      </c>
      <c r="K75" s="4" t="s">
        <v>183</v>
      </c>
      <c r="L75" s="4" t="s">
        <v>183</v>
      </c>
    </row>
    <row r="76" spans="2:20">
      <c r="B76" s="20" t="s">
        <v>389</v>
      </c>
      <c r="C76" s="23"/>
      <c r="D76" s="27">
        <v>61010124</v>
      </c>
      <c r="E76" s="24" t="s">
        <v>390</v>
      </c>
      <c r="H76" s="3" t="s">
        <v>391</v>
      </c>
      <c r="I76" s="4" t="s">
        <v>392</v>
      </c>
      <c r="J76" s="4" t="s">
        <v>183</v>
      </c>
      <c r="K76" s="4" t="s">
        <v>183</v>
      </c>
      <c r="L76" s="4" t="s">
        <v>183</v>
      </c>
    </row>
    <row r="77" spans="2:20">
      <c r="B77" s="20" t="s">
        <v>393</v>
      </c>
      <c r="C77" s="23"/>
      <c r="D77" s="27">
        <v>61010124</v>
      </c>
      <c r="E77" s="24" t="s">
        <v>390</v>
      </c>
      <c r="H77" s="3" t="s">
        <v>394</v>
      </c>
      <c r="I77" s="4" t="s">
        <v>395</v>
      </c>
      <c r="J77" s="4" t="s">
        <v>183</v>
      </c>
      <c r="K77" s="4" t="s">
        <v>183</v>
      </c>
      <c r="L77" s="4" t="s">
        <v>183</v>
      </c>
      <c r="O77" s="47" t="s">
        <v>396</v>
      </c>
      <c r="P77" s="48" t="s">
        <v>27</v>
      </c>
    </row>
    <row r="78" spans="2:20" hidden="1">
      <c r="B78" s="20" t="s">
        <v>397</v>
      </c>
      <c r="C78" s="23"/>
      <c r="D78" s="27">
        <v>61010122</v>
      </c>
      <c r="E78" s="24" t="s">
        <v>398</v>
      </c>
      <c r="H78" s="3" t="s">
        <v>399</v>
      </c>
      <c r="I78" s="4" t="s">
        <v>400</v>
      </c>
      <c r="J78" s="4" t="s">
        <v>183</v>
      </c>
      <c r="K78" s="4" t="s">
        <v>183</v>
      </c>
      <c r="L78" s="4" t="s">
        <v>183</v>
      </c>
      <c r="O78" s="43" t="s">
        <v>401</v>
      </c>
      <c r="P78" s="45" t="s">
        <v>402</v>
      </c>
    </row>
    <row r="79" spans="2:20" hidden="1">
      <c r="B79" s="20" t="s">
        <v>403</v>
      </c>
      <c r="C79" s="22"/>
      <c r="D79" s="27">
        <v>61010124</v>
      </c>
      <c r="E79" s="24" t="s">
        <v>390</v>
      </c>
      <c r="H79" s="3" t="s">
        <v>404</v>
      </c>
      <c r="I79" s="4" t="s">
        <v>405</v>
      </c>
      <c r="J79" s="4" t="s">
        <v>183</v>
      </c>
      <c r="K79" s="4" t="s">
        <v>183</v>
      </c>
      <c r="L79" s="4" t="s">
        <v>183</v>
      </c>
      <c r="O79" s="43" t="s">
        <v>406</v>
      </c>
      <c r="P79" s="45" t="s">
        <v>407</v>
      </c>
    </row>
    <row r="80" spans="2:20">
      <c r="B80" s="19" t="s">
        <v>408</v>
      </c>
      <c r="C80" s="28" t="s">
        <v>304</v>
      </c>
      <c r="D80" s="27">
        <v>61010109</v>
      </c>
      <c r="E80" s="24" t="s">
        <v>409</v>
      </c>
      <c r="H80" s="3" t="s">
        <v>410</v>
      </c>
      <c r="I80" s="4" t="s">
        <v>411</v>
      </c>
      <c r="J80" s="4" t="s">
        <v>183</v>
      </c>
      <c r="K80" s="4" t="s">
        <v>183</v>
      </c>
      <c r="L80" s="4" t="s">
        <v>183</v>
      </c>
      <c r="O80" s="43" t="s">
        <v>412</v>
      </c>
      <c r="P80" s="45" t="s">
        <v>413</v>
      </c>
    </row>
    <row r="81" spans="2:16" hidden="1">
      <c r="B81" s="19" t="s">
        <v>414</v>
      </c>
      <c r="C81" s="28" t="s">
        <v>304</v>
      </c>
      <c r="D81" s="27">
        <v>61010108</v>
      </c>
      <c r="E81" s="24" t="s">
        <v>415</v>
      </c>
      <c r="H81" s="3" t="s">
        <v>416</v>
      </c>
      <c r="I81" s="4" t="s">
        <v>417</v>
      </c>
      <c r="J81" s="4" t="s">
        <v>183</v>
      </c>
      <c r="K81" s="4" t="s">
        <v>183</v>
      </c>
      <c r="L81" s="4" t="s">
        <v>183</v>
      </c>
      <c r="O81" s="43" t="s">
        <v>37</v>
      </c>
      <c r="P81" s="45" t="s">
        <v>402</v>
      </c>
    </row>
    <row r="82" spans="2:16" hidden="1">
      <c r="B82" s="19" t="s">
        <v>418</v>
      </c>
      <c r="C82" s="28" t="s">
        <v>304</v>
      </c>
      <c r="D82" s="27">
        <v>61010116</v>
      </c>
      <c r="E82" s="24" t="s">
        <v>419</v>
      </c>
      <c r="H82" s="3" t="s">
        <v>420</v>
      </c>
      <c r="I82" s="4" t="s">
        <v>421</v>
      </c>
      <c r="J82" s="4" t="s">
        <v>183</v>
      </c>
      <c r="K82" s="4" t="s">
        <v>183</v>
      </c>
      <c r="L82" s="4" t="s">
        <v>183</v>
      </c>
      <c r="O82" s="43" t="s">
        <v>422</v>
      </c>
      <c r="P82" s="45" t="s">
        <v>407</v>
      </c>
    </row>
    <row r="83" spans="2:16" hidden="1">
      <c r="B83" s="19" t="s">
        <v>423</v>
      </c>
      <c r="C83" s="28" t="s">
        <v>304</v>
      </c>
      <c r="D83" s="27">
        <v>61010105</v>
      </c>
      <c r="E83" s="24" t="s">
        <v>310</v>
      </c>
      <c r="H83" s="3" t="s">
        <v>424</v>
      </c>
      <c r="I83" s="4" t="s">
        <v>425</v>
      </c>
      <c r="J83" s="4" t="s">
        <v>183</v>
      </c>
      <c r="K83" s="4" t="s">
        <v>183</v>
      </c>
      <c r="L83" s="4" t="s">
        <v>183</v>
      </c>
      <c r="O83" s="43" t="s">
        <v>426</v>
      </c>
      <c r="P83" s="45" t="s">
        <v>407</v>
      </c>
    </row>
    <row r="84" spans="2:16">
      <c r="B84" s="19" t="s">
        <v>427</v>
      </c>
      <c r="C84" s="28" t="s">
        <v>304</v>
      </c>
      <c r="D84" s="27">
        <v>61010105</v>
      </c>
      <c r="E84" s="24" t="s">
        <v>310</v>
      </c>
      <c r="H84" s="3" t="s">
        <v>428</v>
      </c>
      <c r="I84" s="4" t="s">
        <v>429</v>
      </c>
      <c r="J84" s="4" t="s">
        <v>183</v>
      </c>
      <c r="K84" s="4" t="s">
        <v>183</v>
      </c>
      <c r="L84" s="4" t="s">
        <v>183</v>
      </c>
      <c r="O84" s="43" t="s">
        <v>430</v>
      </c>
      <c r="P84" s="45" t="s">
        <v>413</v>
      </c>
    </row>
    <row r="85" spans="2:16" hidden="1">
      <c r="B85" s="19" t="s">
        <v>431</v>
      </c>
      <c r="C85" s="29" t="s">
        <v>340</v>
      </c>
      <c r="D85" s="27">
        <v>61010103</v>
      </c>
      <c r="E85" s="24" t="s">
        <v>341</v>
      </c>
      <c r="H85" s="3" t="s">
        <v>432</v>
      </c>
      <c r="I85" s="4" t="s">
        <v>433</v>
      </c>
      <c r="J85" s="4" t="s">
        <v>183</v>
      </c>
      <c r="K85" s="4" t="s">
        <v>183</v>
      </c>
      <c r="L85" s="4" t="s">
        <v>183</v>
      </c>
      <c r="O85" s="43" t="s">
        <v>434</v>
      </c>
      <c r="P85" s="45" t="s">
        <v>407</v>
      </c>
    </row>
    <row r="86" spans="2:16" hidden="1">
      <c r="B86" s="19" t="s">
        <v>435</v>
      </c>
      <c r="C86" s="29" t="s">
        <v>340</v>
      </c>
      <c r="D86" s="27">
        <v>61010103</v>
      </c>
      <c r="E86" s="24" t="s">
        <v>341</v>
      </c>
      <c r="H86" s="3" t="s">
        <v>436</v>
      </c>
      <c r="I86" s="4" t="s">
        <v>437</v>
      </c>
      <c r="J86" s="4" t="s">
        <v>183</v>
      </c>
      <c r="K86" s="4" t="s">
        <v>183</v>
      </c>
      <c r="L86" s="4" t="s">
        <v>183</v>
      </c>
      <c r="O86" s="43" t="s">
        <v>438</v>
      </c>
      <c r="P86" s="45" t="s">
        <v>402</v>
      </c>
    </row>
    <row r="87" spans="2:16" hidden="1">
      <c r="B87" s="19" t="s">
        <v>439</v>
      </c>
      <c r="C87" s="29" t="s">
        <v>340</v>
      </c>
      <c r="D87" s="27">
        <v>61010103</v>
      </c>
      <c r="E87" s="24" t="s">
        <v>341</v>
      </c>
      <c r="H87" s="3" t="s">
        <v>440</v>
      </c>
      <c r="I87" s="4" t="s">
        <v>441</v>
      </c>
      <c r="J87" s="4" t="s">
        <v>183</v>
      </c>
      <c r="K87" s="4" t="s">
        <v>183</v>
      </c>
      <c r="L87" s="4" t="s">
        <v>183</v>
      </c>
      <c r="O87" s="43" t="s">
        <v>442</v>
      </c>
      <c r="P87" s="45" t="s">
        <v>407</v>
      </c>
    </row>
    <row r="88" spans="2:16" hidden="1">
      <c r="B88" s="19" t="s">
        <v>443</v>
      </c>
      <c r="C88" s="28" t="s">
        <v>304</v>
      </c>
      <c r="D88" s="27">
        <v>61010105</v>
      </c>
      <c r="E88" s="24" t="s">
        <v>310</v>
      </c>
      <c r="H88" s="3" t="s">
        <v>444</v>
      </c>
      <c r="I88" s="4" t="s">
        <v>445</v>
      </c>
      <c r="J88" s="4" t="s">
        <v>183</v>
      </c>
      <c r="K88" s="4" t="s">
        <v>183</v>
      </c>
      <c r="L88" s="4" t="s">
        <v>183</v>
      </c>
      <c r="O88" s="43" t="s">
        <v>446</v>
      </c>
      <c r="P88" s="45" t="s">
        <v>407</v>
      </c>
    </row>
    <row r="89" spans="2:16" hidden="1">
      <c r="B89" s="19" t="s">
        <v>447</v>
      </c>
      <c r="C89" s="28" t="s">
        <v>304</v>
      </c>
      <c r="D89" s="27">
        <v>61010105</v>
      </c>
      <c r="E89" s="24" t="s">
        <v>310</v>
      </c>
      <c r="H89" s="3" t="s">
        <v>448</v>
      </c>
      <c r="I89" s="4" t="s">
        <v>449</v>
      </c>
      <c r="J89" s="4" t="s">
        <v>183</v>
      </c>
      <c r="K89" s="4" t="s">
        <v>183</v>
      </c>
      <c r="L89" s="4" t="s">
        <v>183</v>
      </c>
      <c r="O89" s="43" t="s">
        <v>450</v>
      </c>
      <c r="P89" s="45" t="s">
        <v>451</v>
      </c>
    </row>
    <row r="90" spans="2:16">
      <c r="B90" s="19" t="s">
        <v>452</v>
      </c>
      <c r="C90" s="28" t="s">
        <v>304</v>
      </c>
      <c r="D90" s="27">
        <v>61010105</v>
      </c>
      <c r="E90" s="24" t="s">
        <v>310</v>
      </c>
      <c r="H90" s="3" t="s">
        <v>453</v>
      </c>
      <c r="I90" s="4" t="s">
        <v>454</v>
      </c>
      <c r="J90" s="4" t="s">
        <v>183</v>
      </c>
      <c r="K90" s="4" t="s">
        <v>183</v>
      </c>
      <c r="L90" s="4" t="s">
        <v>183</v>
      </c>
      <c r="O90" s="43" t="s">
        <v>455</v>
      </c>
      <c r="P90" s="45" t="s">
        <v>413</v>
      </c>
    </row>
    <row r="91" spans="2:16">
      <c r="B91" s="19" t="s">
        <v>456</v>
      </c>
      <c r="C91" s="30" t="s">
        <v>346</v>
      </c>
      <c r="D91" s="30" t="s">
        <v>346</v>
      </c>
      <c r="E91" s="30" t="s">
        <v>346</v>
      </c>
      <c r="H91" s="3" t="s">
        <v>457</v>
      </c>
      <c r="I91" s="4" t="s">
        <v>458</v>
      </c>
      <c r="J91" s="4" t="s">
        <v>183</v>
      </c>
      <c r="K91" s="4" t="s">
        <v>183</v>
      </c>
      <c r="L91" s="4" t="s">
        <v>183</v>
      </c>
      <c r="O91" s="43" t="s">
        <v>459</v>
      </c>
      <c r="P91" s="45" t="s">
        <v>413</v>
      </c>
    </row>
    <row r="92" spans="2:16" hidden="1">
      <c r="B92" s="19" t="s">
        <v>460</v>
      </c>
      <c r="C92" s="28" t="s">
        <v>304</v>
      </c>
      <c r="D92" s="27">
        <v>61010105</v>
      </c>
      <c r="E92" s="24" t="s">
        <v>310</v>
      </c>
      <c r="H92" s="3" t="s">
        <v>461</v>
      </c>
      <c r="I92" s="4" t="s">
        <v>462</v>
      </c>
      <c r="J92" s="4" t="s">
        <v>183</v>
      </c>
      <c r="K92" s="4" t="s">
        <v>183</v>
      </c>
      <c r="L92" s="4" t="s">
        <v>183</v>
      </c>
      <c r="O92" s="43" t="s">
        <v>463</v>
      </c>
      <c r="P92" s="45" t="s">
        <v>407</v>
      </c>
    </row>
    <row r="93" spans="2:16" hidden="1">
      <c r="B93" s="19" t="s">
        <v>464</v>
      </c>
      <c r="C93" s="28" t="s">
        <v>304</v>
      </c>
      <c r="D93" s="27">
        <v>61010105</v>
      </c>
      <c r="E93" s="24" t="s">
        <v>310</v>
      </c>
      <c r="H93" s="3" t="s">
        <v>465</v>
      </c>
      <c r="I93" s="4" t="s">
        <v>466</v>
      </c>
      <c r="J93" s="4" t="s">
        <v>183</v>
      </c>
      <c r="K93" s="4" t="s">
        <v>183</v>
      </c>
      <c r="L93" s="4" t="s">
        <v>183</v>
      </c>
      <c r="O93" s="43" t="s">
        <v>467</v>
      </c>
      <c r="P93" s="45" t="s">
        <v>407</v>
      </c>
    </row>
    <row r="94" spans="2:16" hidden="1">
      <c r="B94" s="19" t="s">
        <v>468</v>
      </c>
      <c r="C94" s="28" t="s">
        <v>304</v>
      </c>
      <c r="D94" s="27">
        <v>61010105</v>
      </c>
      <c r="E94" s="24" t="s">
        <v>310</v>
      </c>
      <c r="H94" s="3" t="s">
        <v>469</v>
      </c>
      <c r="I94" s="4" t="s">
        <v>470</v>
      </c>
      <c r="J94" s="4" t="s">
        <v>183</v>
      </c>
      <c r="K94" s="4" t="s">
        <v>183</v>
      </c>
      <c r="L94" s="4" t="s">
        <v>183</v>
      </c>
      <c r="O94" s="43" t="s">
        <v>471</v>
      </c>
      <c r="P94" s="45" t="s">
        <v>402</v>
      </c>
    </row>
    <row r="95" spans="2:16" hidden="1">
      <c r="B95" s="19" t="s">
        <v>472</v>
      </c>
      <c r="C95" s="28" t="s">
        <v>304</v>
      </c>
      <c r="D95" s="27">
        <v>61010131</v>
      </c>
      <c r="E95" s="24" t="s">
        <v>473</v>
      </c>
      <c r="H95" s="3" t="s">
        <v>474</v>
      </c>
      <c r="I95" s="4" t="s">
        <v>475</v>
      </c>
      <c r="J95" s="4" t="s">
        <v>183</v>
      </c>
      <c r="K95" s="4" t="s">
        <v>183</v>
      </c>
      <c r="L95" s="4" t="s">
        <v>183</v>
      </c>
      <c r="O95" s="43" t="s">
        <v>476</v>
      </c>
      <c r="P95" s="45" t="s">
        <v>407</v>
      </c>
    </row>
    <row r="96" spans="2:16">
      <c r="B96" s="19" t="s">
        <v>477</v>
      </c>
      <c r="C96" s="28" t="s">
        <v>304</v>
      </c>
      <c r="D96" s="27">
        <v>61010131</v>
      </c>
      <c r="E96" s="24" t="s">
        <v>473</v>
      </c>
      <c r="H96" s="3" t="s">
        <v>478</v>
      </c>
      <c r="I96" s="4" t="s">
        <v>479</v>
      </c>
      <c r="J96" s="4" t="s">
        <v>183</v>
      </c>
      <c r="K96" s="4" t="s">
        <v>183</v>
      </c>
      <c r="L96" s="4" t="s">
        <v>183</v>
      </c>
      <c r="O96" s="43" t="s">
        <v>480</v>
      </c>
      <c r="P96" s="45" t="s">
        <v>413</v>
      </c>
    </row>
    <row r="97" spans="2:22">
      <c r="B97" s="19" t="s">
        <v>481</v>
      </c>
      <c r="C97" s="26" t="s">
        <v>291</v>
      </c>
      <c r="D97" s="27">
        <v>61010101</v>
      </c>
      <c r="E97" s="24" t="s">
        <v>292</v>
      </c>
      <c r="H97" s="3" t="s">
        <v>482</v>
      </c>
      <c r="I97" s="4" t="s">
        <v>483</v>
      </c>
      <c r="J97" s="4" t="s">
        <v>183</v>
      </c>
      <c r="K97" s="4" t="s">
        <v>183</v>
      </c>
      <c r="L97" s="4" t="s">
        <v>183</v>
      </c>
      <c r="O97" s="43" t="s">
        <v>484</v>
      </c>
      <c r="P97" s="45" t="s">
        <v>413</v>
      </c>
    </row>
    <row r="98" spans="2:22">
      <c r="B98" s="19" t="s">
        <v>485</v>
      </c>
      <c r="C98" s="28" t="s">
        <v>304</v>
      </c>
      <c r="D98" s="27">
        <v>61010105</v>
      </c>
      <c r="E98" s="24" t="s">
        <v>310</v>
      </c>
      <c r="H98" s="3" t="s">
        <v>486</v>
      </c>
      <c r="I98" s="4" t="s">
        <v>487</v>
      </c>
      <c r="J98" s="4" t="s">
        <v>183</v>
      </c>
      <c r="K98" s="4" t="s">
        <v>183</v>
      </c>
      <c r="L98" s="4" t="s">
        <v>183</v>
      </c>
      <c r="O98" s="43" t="s">
        <v>488</v>
      </c>
      <c r="P98" s="45" t="s">
        <v>413</v>
      </c>
    </row>
    <row r="99" spans="2:22" hidden="1">
      <c r="B99" s="19" t="s">
        <v>489</v>
      </c>
      <c r="C99" s="26" t="s">
        <v>291</v>
      </c>
      <c r="D99" s="27">
        <v>61010118</v>
      </c>
      <c r="E99" s="24" t="s">
        <v>375</v>
      </c>
      <c r="H99" s="3" t="s">
        <v>490</v>
      </c>
      <c r="I99" s="4" t="s">
        <v>491</v>
      </c>
      <c r="J99" s="4" t="s">
        <v>183</v>
      </c>
      <c r="K99" s="4" t="s">
        <v>183</v>
      </c>
      <c r="L99" s="4" t="s">
        <v>183</v>
      </c>
      <c r="O99" s="43" t="s">
        <v>492</v>
      </c>
      <c r="P99" s="45" t="s">
        <v>407</v>
      </c>
    </row>
    <row r="100" spans="2:22">
      <c r="B100" s="19" t="s">
        <v>493</v>
      </c>
      <c r="C100" s="26" t="s">
        <v>291</v>
      </c>
      <c r="D100" s="27">
        <v>61010117</v>
      </c>
      <c r="E100" s="24" t="s">
        <v>371</v>
      </c>
      <c r="H100" s="3" t="s">
        <v>494</v>
      </c>
      <c r="I100" s="4" t="s">
        <v>495</v>
      </c>
      <c r="J100" s="4" t="s">
        <v>183</v>
      </c>
      <c r="K100" s="4" t="s">
        <v>183</v>
      </c>
      <c r="L100" s="4" t="s">
        <v>183</v>
      </c>
      <c r="O100" s="43" t="s">
        <v>496</v>
      </c>
      <c r="P100" s="45" t="s">
        <v>413</v>
      </c>
      <c r="V100" t="s">
        <v>497</v>
      </c>
    </row>
    <row r="101" spans="2:22">
      <c r="B101" s="19" t="s">
        <v>498</v>
      </c>
      <c r="C101" s="26" t="s">
        <v>291</v>
      </c>
      <c r="D101" s="27">
        <v>61010127</v>
      </c>
      <c r="E101" s="24" t="s">
        <v>499</v>
      </c>
      <c r="H101" s="3" t="s">
        <v>500</v>
      </c>
      <c r="I101" s="4" t="s">
        <v>501</v>
      </c>
      <c r="J101" s="4" t="s">
        <v>183</v>
      </c>
      <c r="K101" s="4" t="s">
        <v>183</v>
      </c>
      <c r="L101" s="4" t="s">
        <v>183</v>
      </c>
      <c r="O101" s="43" t="s">
        <v>502</v>
      </c>
      <c r="P101" s="45" t="s">
        <v>413</v>
      </c>
      <c r="V101" t="s">
        <v>503</v>
      </c>
    </row>
    <row r="102" spans="2:22">
      <c r="B102" s="19" t="s">
        <v>504</v>
      </c>
      <c r="C102" s="26" t="s">
        <v>291</v>
      </c>
      <c r="D102" s="27">
        <v>61010118</v>
      </c>
      <c r="E102" s="24" t="s">
        <v>375</v>
      </c>
      <c r="H102" s="3" t="s">
        <v>505</v>
      </c>
      <c r="I102" s="4" t="s">
        <v>506</v>
      </c>
      <c r="J102" s="4" t="s">
        <v>183</v>
      </c>
      <c r="K102" s="4" t="s">
        <v>183</v>
      </c>
      <c r="L102" s="4" t="s">
        <v>183</v>
      </c>
      <c r="O102" s="43" t="s">
        <v>507</v>
      </c>
      <c r="P102" s="45" t="s">
        <v>413</v>
      </c>
      <c r="V102" t="s">
        <v>508</v>
      </c>
    </row>
    <row r="103" spans="2:22">
      <c r="B103" s="19" t="s">
        <v>509</v>
      </c>
      <c r="C103" s="26" t="s">
        <v>291</v>
      </c>
      <c r="D103" s="27">
        <v>61010127</v>
      </c>
      <c r="E103" s="24" t="s">
        <v>499</v>
      </c>
      <c r="H103" s="3" t="s">
        <v>510</v>
      </c>
      <c r="I103" s="4" t="s">
        <v>511</v>
      </c>
      <c r="J103" s="4" t="s">
        <v>183</v>
      </c>
      <c r="K103" s="4" t="s">
        <v>183</v>
      </c>
      <c r="L103" s="4" t="s">
        <v>183</v>
      </c>
      <c r="O103" s="43" t="s">
        <v>512</v>
      </c>
      <c r="P103" s="45" t="s">
        <v>413</v>
      </c>
      <c r="V103" t="s">
        <v>513</v>
      </c>
    </row>
    <row r="104" spans="2:22" hidden="1">
      <c r="H104" s="3" t="s">
        <v>514</v>
      </c>
      <c r="I104" s="4" t="s">
        <v>515</v>
      </c>
      <c r="J104" s="4" t="s">
        <v>183</v>
      </c>
      <c r="K104" s="4" t="s">
        <v>183</v>
      </c>
      <c r="L104" s="4" t="s">
        <v>183</v>
      </c>
      <c r="O104" s="43" t="s">
        <v>516</v>
      </c>
      <c r="P104" s="45" t="s">
        <v>402</v>
      </c>
    </row>
    <row r="105" spans="2:22">
      <c r="H105" s="3" t="s">
        <v>517</v>
      </c>
      <c r="I105" s="4" t="s">
        <v>518</v>
      </c>
      <c r="J105" s="4" t="s">
        <v>183</v>
      </c>
      <c r="K105" s="4" t="s">
        <v>183</v>
      </c>
      <c r="L105" s="4" t="s">
        <v>183</v>
      </c>
      <c r="O105" s="43" t="s">
        <v>519</v>
      </c>
      <c r="P105" s="45" t="s">
        <v>413</v>
      </c>
    </row>
    <row r="106" spans="2:22" hidden="1">
      <c r="H106" s="3" t="s">
        <v>520</v>
      </c>
      <c r="I106" s="4" t="s">
        <v>521</v>
      </c>
      <c r="J106" s="4" t="s">
        <v>183</v>
      </c>
      <c r="K106" s="4" t="s">
        <v>183</v>
      </c>
      <c r="L106" s="4" t="s">
        <v>183</v>
      </c>
      <c r="O106" s="43" t="s">
        <v>522</v>
      </c>
      <c r="P106" s="45" t="s">
        <v>407</v>
      </c>
    </row>
    <row r="107" spans="2:22">
      <c r="H107" s="3" t="s">
        <v>523</v>
      </c>
      <c r="I107" s="4" t="s">
        <v>524</v>
      </c>
      <c r="J107" s="4" t="s">
        <v>183</v>
      </c>
      <c r="K107" s="4" t="s">
        <v>183</v>
      </c>
      <c r="L107" s="4" t="s">
        <v>183</v>
      </c>
      <c r="O107" s="43" t="s">
        <v>525</v>
      </c>
      <c r="P107" s="45" t="s">
        <v>413</v>
      </c>
    </row>
    <row r="108" spans="2:22" hidden="1">
      <c r="H108" s="3" t="s">
        <v>526</v>
      </c>
      <c r="I108" s="4" t="s">
        <v>527</v>
      </c>
      <c r="J108" s="4" t="s">
        <v>183</v>
      </c>
      <c r="K108" s="4" t="s">
        <v>183</v>
      </c>
      <c r="L108" s="4" t="s">
        <v>183</v>
      </c>
      <c r="O108" s="43" t="s">
        <v>528</v>
      </c>
      <c r="P108" s="45" t="s">
        <v>407</v>
      </c>
    </row>
    <row r="109" spans="2:22" hidden="1">
      <c r="H109" s="3" t="s">
        <v>529</v>
      </c>
      <c r="I109" s="4" t="s">
        <v>530</v>
      </c>
      <c r="J109" s="4" t="s">
        <v>183</v>
      </c>
      <c r="K109" s="4" t="s">
        <v>183</v>
      </c>
      <c r="L109" s="4" t="s">
        <v>183</v>
      </c>
      <c r="O109" s="43" t="s">
        <v>531</v>
      </c>
      <c r="P109" s="45" t="s">
        <v>402</v>
      </c>
    </row>
    <row r="110" spans="2:22" hidden="1">
      <c r="H110" s="3" t="s">
        <v>532</v>
      </c>
      <c r="I110" s="4" t="s">
        <v>533</v>
      </c>
      <c r="J110" s="4" t="s">
        <v>183</v>
      </c>
      <c r="K110" s="4" t="s">
        <v>183</v>
      </c>
      <c r="L110" s="4" t="s">
        <v>183</v>
      </c>
      <c r="O110" s="43" t="s">
        <v>534</v>
      </c>
      <c r="P110" s="45" t="s">
        <v>407</v>
      </c>
    </row>
    <row r="111" spans="2:22" hidden="1">
      <c r="H111" s="3" t="s">
        <v>535</v>
      </c>
      <c r="I111" s="4" t="s">
        <v>536</v>
      </c>
      <c r="J111" s="4" t="s">
        <v>183</v>
      </c>
      <c r="K111" s="4" t="s">
        <v>183</v>
      </c>
      <c r="L111" s="4" t="s">
        <v>183</v>
      </c>
      <c r="O111" s="43" t="s">
        <v>537</v>
      </c>
      <c r="P111" s="45" t="s">
        <v>402</v>
      </c>
    </row>
    <row r="112" spans="2:22" hidden="1">
      <c r="H112" s="3" t="s">
        <v>538</v>
      </c>
      <c r="I112" s="4" t="s">
        <v>539</v>
      </c>
      <c r="J112" s="4" t="s">
        <v>183</v>
      </c>
      <c r="K112" s="4" t="s">
        <v>183</v>
      </c>
      <c r="L112" s="4" t="s">
        <v>183</v>
      </c>
      <c r="O112" s="43" t="s">
        <v>540</v>
      </c>
      <c r="P112" s="45" t="s">
        <v>407</v>
      </c>
    </row>
    <row r="113" spans="8:17" hidden="1">
      <c r="H113" s="3" t="s">
        <v>541</v>
      </c>
      <c r="I113" s="4" t="s">
        <v>542</v>
      </c>
      <c r="J113" s="4" t="s">
        <v>183</v>
      </c>
      <c r="K113" s="4" t="s">
        <v>183</v>
      </c>
      <c r="L113" s="4" t="s">
        <v>183</v>
      </c>
      <c r="O113" s="43" t="s">
        <v>543</v>
      </c>
      <c r="P113" s="45" t="s">
        <v>407</v>
      </c>
    </row>
    <row r="114" spans="8:17">
      <c r="H114" s="3" t="s">
        <v>544</v>
      </c>
      <c r="I114" s="4" t="s">
        <v>545</v>
      </c>
      <c r="J114" s="4" t="s">
        <v>183</v>
      </c>
      <c r="K114" s="4" t="s">
        <v>183</v>
      </c>
      <c r="L114" s="4" t="s">
        <v>183</v>
      </c>
      <c r="O114" s="43" t="s">
        <v>546</v>
      </c>
      <c r="P114" s="45" t="s">
        <v>413</v>
      </c>
      <c r="Q114" s="65"/>
    </row>
    <row r="115" spans="8:17">
      <c r="H115" s="3" t="s">
        <v>547</v>
      </c>
      <c r="I115" s="4" t="s">
        <v>548</v>
      </c>
      <c r="J115" s="4" t="s">
        <v>183</v>
      </c>
      <c r="K115" s="4" t="s">
        <v>183</v>
      </c>
      <c r="L115" s="4" t="s">
        <v>183</v>
      </c>
      <c r="O115" s="43" t="s">
        <v>549</v>
      </c>
      <c r="P115" s="45" t="s">
        <v>413</v>
      </c>
    </row>
    <row r="116" spans="8:17" hidden="1">
      <c r="H116" s="3" t="s">
        <v>550</v>
      </c>
      <c r="I116" s="4" t="s">
        <v>551</v>
      </c>
      <c r="J116" s="4" t="s">
        <v>183</v>
      </c>
      <c r="K116" s="4" t="s">
        <v>183</v>
      </c>
      <c r="L116" s="4" t="s">
        <v>183</v>
      </c>
      <c r="O116" s="43" t="s">
        <v>552</v>
      </c>
      <c r="P116" s="45" t="s">
        <v>402</v>
      </c>
      <c r="Q116" s="65"/>
    </row>
    <row r="117" spans="8:17" hidden="1">
      <c r="H117" s="3" t="s">
        <v>553</v>
      </c>
      <c r="I117" s="4" t="s">
        <v>554</v>
      </c>
      <c r="J117" s="4" t="s">
        <v>183</v>
      </c>
      <c r="K117" s="4" t="s">
        <v>183</v>
      </c>
      <c r="L117" s="4" t="s">
        <v>183</v>
      </c>
      <c r="O117" s="43" t="s">
        <v>555</v>
      </c>
      <c r="P117" s="45" t="s">
        <v>451</v>
      </c>
      <c r="Q117" s="65"/>
    </row>
    <row r="118" spans="8:17" hidden="1">
      <c r="H118" s="3" t="s">
        <v>556</v>
      </c>
      <c r="I118" s="4" t="s">
        <v>557</v>
      </c>
      <c r="J118" s="4" t="s">
        <v>183</v>
      </c>
      <c r="K118" s="4" t="s">
        <v>183</v>
      </c>
      <c r="L118" s="4" t="s">
        <v>183</v>
      </c>
      <c r="O118" s="43" t="s">
        <v>558</v>
      </c>
      <c r="P118" s="45" t="s">
        <v>451</v>
      </c>
      <c r="Q118" s="65"/>
    </row>
    <row r="119" spans="8:17" hidden="1">
      <c r="H119" s="3" t="s">
        <v>559</v>
      </c>
      <c r="I119" s="4" t="s">
        <v>560</v>
      </c>
      <c r="J119" s="4" t="s">
        <v>183</v>
      </c>
      <c r="K119" s="4" t="s">
        <v>183</v>
      </c>
      <c r="L119" s="4" t="s">
        <v>183</v>
      </c>
      <c r="O119" s="44" t="s">
        <v>561</v>
      </c>
      <c r="P119" s="46" t="s">
        <v>561</v>
      </c>
      <c r="Q119" s="65"/>
    </row>
    <row r="120" spans="8:17" hidden="1">
      <c r="H120" s="3" t="s">
        <v>562</v>
      </c>
      <c r="I120" s="4" t="s">
        <v>563</v>
      </c>
      <c r="J120" s="4" t="s">
        <v>183</v>
      </c>
      <c r="K120" s="4" t="s">
        <v>183</v>
      </c>
      <c r="L120" s="4" t="s">
        <v>183</v>
      </c>
      <c r="O120" s="44" t="s">
        <v>564</v>
      </c>
      <c r="P120" s="46" t="s">
        <v>565</v>
      </c>
    </row>
    <row r="121" spans="8:17" hidden="1">
      <c r="H121" s="3" t="s">
        <v>566</v>
      </c>
      <c r="I121" s="4" t="s">
        <v>567</v>
      </c>
      <c r="J121" s="4" t="s">
        <v>183</v>
      </c>
      <c r="K121" s="4" t="s">
        <v>183</v>
      </c>
      <c r="L121" s="4" t="s">
        <v>183</v>
      </c>
      <c r="O121" s="51" t="s">
        <v>568</v>
      </c>
      <c r="P121" s="50" t="s">
        <v>407</v>
      </c>
    </row>
    <row r="122" spans="8:17" hidden="1">
      <c r="H122" s="3" t="s">
        <v>569</v>
      </c>
      <c r="I122" s="4" t="s">
        <v>570</v>
      </c>
      <c r="J122" s="4" t="s">
        <v>183</v>
      </c>
      <c r="K122" s="4" t="s">
        <v>183</v>
      </c>
      <c r="L122" s="4" t="s">
        <v>183</v>
      </c>
      <c r="O122" s="43" t="s">
        <v>571</v>
      </c>
      <c r="P122" s="52" t="s">
        <v>407</v>
      </c>
    </row>
    <row r="123" spans="8:17" hidden="1">
      <c r="H123" s="3" t="s">
        <v>572</v>
      </c>
      <c r="I123" s="4" t="s">
        <v>573</v>
      </c>
      <c r="J123" s="4" t="s">
        <v>183</v>
      </c>
      <c r="K123" s="4" t="s">
        <v>183</v>
      </c>
      <c r="L123" s="4" t="s">
        <v>183</v>
      </c>
      <c r="O123" s="51" t="s">
        <v>558</v>
      </c>
      <c r="P123" s="50" t="s">
        <v>451</v>
      </c>
    </row>
    <row r="124" spans="8:17" hidden="1">
      <c r="H124" s="3" t="s">
        <v>574</v>
      </c>
      <c r="I124" s="4" t="s">
        <v>575</v>
      </c>
      <c r="J124" s="4" t="s">
        <v>183</v>
      </c>
      <c r="K124" s="4" t="s">
        <v>183</v>
      </c>
      <c r="L124" s="4" t="s">
        <v>183</v>
      </c>
      <c r="O124" s="51" t="s">
        <v>576</v>
      </c>
      <c r="P124" s="53" t="s">
        <v>407</v>
      </c>
    </row>
    <row r="125" spans="8:17" hidden="1">
      <c r="H125" s="3" t="s">
        <v>577</v>
      </c>
      <c r="I125" s="4" t="s">
        <v>578</v>
      </c>
      <c r="J125" s="4" t="s">
        <v>183</v>
      </c>
      <c r="K125" s="4" t="s">
        <v>183</v>
      </c>
      <c r="L125" s="4" t="s">
        <v>183</v>
      </c>
      <c r="O125" s="51" t="s">
        <v>579</v>
      </c>
      <c r="P125" s="53" t="s">
        <v>407</v>
      </c>
    </row>
    <row r="126" spans="8:17" hidden="1">
      <c r="H126" s="3" t="s">
        <v>580</v>
      </c>
      <c r="I126" s="4" t="s">
        <v>581</v>
      </c>
      <c r="J126" s="4" t="s">
        <v>183</v>
      </c>
      <c r="K126" s="4" t="s">
        <v>183</v>
      </c>
      <c r="L126" s="4" t="s">
        <v>183</v>
      </c>
      <c r="O126" s="43" t="s">
        <v>582</v>
      </c>
      <c r="P126" s="52" t="s">
        <v>407</v>
      </c>
    </row>
    <row r="127" spans="8:17" hidden="1">
      <c r="H127" s="3" t="s">
        <v>583</v>
      </c>
      <c r="I127" s="4" t="s">
        <v>584</v>
      </c>
      <c r="J127" s="4" t="s">
        <v>183</v>
      </c>
      <c r="K127" s="4" t="s">
        <v>183</v>
      </c>
      <c r="L127" s="4" t="s">
        <v>183</v>
      </c>
      <c r="O127" s="51" t="s">
        <v>585</v>
      </c>
      <c r="P127" s="53" t="s">
        <v>407</v>
      </c>
    </row>
    <row r="128" spans="8:17" hidden="1">
      <c r="H128" s="3" t="s">
        <v>586</v>
      </c>
      <c r="I128" s="4" t="s">
        <v>587</v>
      </c>
      <c r="J128" s="4" t="s">
        <v>183</v>
      </c>
      <c r="K128" s="4" t="s">
        <v>183</v>
      </c>
      <c r="L128" s="4" t="s">
        <v>183</v>
      </c>
      <c r="O128" s="43" t="s">
        <v>588</v>
      </c>
      <c r="P128" s="45" t="s">
        <v>402</v>
      </c>
    </row>
    <row r="129" spans="8:16" hidden="1">
      <c r="H129" s="3" t="s">
        <v>589</v>
      </c>
      <c r="I129" s="4" t="s">
        <v>590</v>
      </c>
      <c r="J129" s="4" t="s">
        <v>183</v>
      </c>
      <c r="K129" s="4" t="s">
        <v>183</v>
      </c>
      <c r="L129" s="4" t="s">
        <v>183</v>
      </c>
      <c r="O129" s="43" t="s">
        <v>591</v>
      </c>
      <c r="P129" s="45" t="s">
        <v>402</v>
      </c>
    </row>
    <row r="130" spans="8:16" hidden="1">
      <c r="H130" s="3" t="s">
        <v>592</v>
      </c>
      <c r="I130" s="4" t="s">
        <v>593</v>
      </c>
      <c r="J130" s="4" t="s">
        <v>183</v>
      </c>
      <c r="K130" s="4" t="s">
        <v>183</v>
      </c>
      <c r="L130" s="4" t="s">
        <v>183</v>
      </c>
      <c r="O130" s="43" t="s">
        <v>594</v>
      </c>
      <c r="P130" s="45" t="s">
        <v>402</v>
      </c>
    </row>
    <row r="131" spans="8:16" hidden="1">
      <c r="H131" s="3" t="s">
        <v>595</v>
      </c>
      <c r="I131" s="4" t="s">
        <v>596</v>
      </c>
      <c r="J131" s="4" t="s">
        <v>183</v>
      </c>
      <c r="K131" s="4" t="s">
        <v>183</v>
      </c>
      <c r="L131" s="4" t="s">
        <v>183</v>
      </c>
      <c r="O131" s="51" t="s">
        <v>597</v>
      </c>
      <c r="P131" s="50" t="s">
        <v>402</v>
      </c>
    </row>
    <row r="132" spans="8:16" hidden="1">
      <c r="H132" s="3" t="s">
        <v>598</v>
      </c>
      <c r="I132" s="4" t="s">
        <v>599</v>
      </c>
      <c r="J132" s="4" t="s">
        <v>183</v>
      </c>
      <c r="K132" s="4" t="s">
        <v>183</v>
      </c>
      <c r="L132" s="4" t="s">
        <v>183</v>
      </c>
      <c r="O132" s="51" t="s">
        <v>600</v>
      </c>
      <c r="P132" s="50" t="s">
        <v>451</v>
      </c>
    </row>
    <row r="133" spans="8:16" hidden="1">
      <c r="H133" s="3" t="s">
        <v>601</v>
      </c>
      <c r="I133" s="4" t="s">
        <v>602</v>
      </c>
      <c r="J133" s="4" t="s">
        <v>183</v>
      </c>
      <c r="K133" s="4" t="s">
        <v>183</v>
      </c>
      <c r="L133" s="4" t="s">
        <v>183</v>
      </c>
      <c r="O133" s="51" t="s">
        <v>603</v>
      </c>
      <c r="P133" s="50" t="s">
        <v>407</v>
      </c>
    </row>
    <row r="134" spans="8:16" hidden="1">
      <c r="H134" s="3" t="s">
        <v>604</v>
      </c>
      <c r="I134" s="4" t="s">
        <v>605</v>
      </c>
      <c r="J134" s="4" t="s">
        <v>183</v>
      </c>
      <c r="K134" s="4" t="s">
        <v>183</v>
      </c>
      <c r="L134" s="4" t="s">
        <v>183</v>
      </c>
      <c r="O134" s="43" t="s">
        <v>497</v>
      </c>
      <c r="P134" s="45" t="s">
        <v>407</v>
      </c>
    </row>
    <row r="135" spans="8:16" hidden="1">
      <c r="H135" s="3" t="s">
        <v>606</v>
      </c>
      <c r="I135" s="4" t="s">
        <v>607</v>
      </c>
      <c r="J135" s="4" t="s">
        <v>183</v>
      </c>
      <c r="K135" s="4" t="s">
        <v>183</v>
      </c>
      <c r="L135" s="4" t="s">
        <v>183</v>
      </c>
      <c r="O135" s="43" t="s">
        <v>503</v>
      </c>
      <c r="P135" s="45" t="s">
        <v>402</v>
      </c>
    </row>
    <row r="136" spans="8:16" hidden="1">
      <c r="H136" s="3" t="s">
        <v>608</v>
      </c>
      <c r="I136" s="4" t="s">
        <v>609</v>
      </c>
      <c r="J136" s="4" t="s">
        <v>183</v>
      </c>
      <c r="K136" s="4" t="s">
        <v>183</v>
      </c>
      <c r="L136" s="4" t="s">
        <v>183</v>
      </c>
      <c r="O136" s="43" t="s">
        <v>508</v>
      </c>
      <c r="P136" s="45" t="s">
        <v>407</v>
      </c>
    </row>
    <row r="137" spans="8:16" hidden="1">
      <c r="H137" s="3" t="s">
        <v>610</v>
      </c>
      <c r="I137" s="4" t="s">
        <v>611</v>
      </c>
      <c r="J137" s="4" t="s">
        <v>183</v>
      </c>
      <c r="K137" s="4" t="s">
        <v>183</v>
      </c>
      <c r="L137" s="4" t="s">
        <v>183</v>
      </c>
      <c r="O137" s="51" t="s">
        <v>513</v>
      </c>
      <c r="P137" s="50" t="s">
        <v>407</v>
      </c>
    </row>
    <row r="138" spans="8:16">
      <c r="H138" s="3" t="s">
        <v>612</v>
      </c>
      <c r="I138" s="4" t="s">
        <v>613</v>
      </c>
      <c r="J138" s="4" t="s">
        <v>183</v>
      </c>
      <c r="K138" s="4" t="s">
        <v>183</v>
      </c>
      <c r="L138" s="4" t="s">
        <v>183</v>
      </c>
      <c r="O138" s="51" t="s">
        <v>614</v>
      </c>
      <c r="P138" s="50" t="s">
        <v>407</v>
      </c>
    </row>
    <row r="139" spans="8:16">
      <c r="H139" s="3" t="s">
        <v>615</v>
      </c>
      <c r="I139" s="4" t="s">
        <v>616</v>
      </c>
      <c r="J139" s="4" t="s">
        <v>183</v>
      </c>
      <c r="K139" s="4" t="s">
        <v>183</v>
      </c>
      <c r="L139" s="4" t="s">
        <v>183</v>
      </c>
    </row>
    <row r="140" spans="8:16">
      <c r="H140" s="3" t="s">
        <v>617</v>
      </c>
      <c r="I140" s="4" t="s">
        <v>618</v>
      </c>
      <c r="J140" s="4" t="s">
        <v>183</v>
      </c>
      <c r="K140" s="4" t="s">
        <v>183</v>
      </c>
      <c r="L140" s="4" t="s">
        <v>183</v>
      </c>
    </row>
    <row r="141" spans="8:16">
      <c r="H141" s="3" t="s">
        <v>619</v>
      </c>
      <c r="I141" s="4" t="s">
        <v>620</v>
      </c>
      <c r="J141" s="4" t="s">
        <v>183</v>
      </c>
      <c r="K141" s="4" t="s">
        <v>183</v>
      </c>
      <c r="L141" s="4" t="s">
        <v>183</v>
      </c>
    </row>
    <row r="142" spans="8:16">
      <c r="H142" s="3" t="s">
        <v>621</v>
      </c>
      <c r="I142" s="4" t="s">
        <v>622</v>
      </c>
      <c r="J142" s="4" t="s">
        <v>183</v>
      </c>
      <c r="K142" s="4" t="s">
        <v>183</v>
      </c>
      <c r="L142" s="4" t="s">
        <v>183</v>
      </c>
    </row>
    <row r="143" spans="8:16">
      <c r="H143" s="3" t="s">
        <v>623</v>
      </c>
      <c r="I143" s="4" t="s">
        <v>624</v>
      </c>
      <c r="J143" s="4" t="s">
        <v>183</v>
      </c>
      <c r="K143" s="4" t="s">
        <v>183</v>
      </c>
      <c r="L143" s="4" t="s">
        <v>183</v>
      </c>
    </row>
    <row r="144" spans="8:16">
      <c r="H144" s="3" t="s">
        <v>625</v>
      </c>
      <c r="I144" s="4" t="s">
        <v>626</v>
      </c>
      <c r="J144" s="4" t="s">
        <v>183</v>
      </c>
      <c r="K144" s="4" t="s">
        <v>183</v>
      </c>
      <c r="L144" s="4" t="s">
        <v>183</v>
      </c>
    </row>
    <row r="145" spans="8:12">
      <c r="H145" s="3" t="s">
        <v>627</v>
      </c>
      <c r="I145" s="4" t="s">
        <v>628</v>
      </c>
      <c r="J145" s="4" t="s">
        <v>183</v>
      </c>
      <c r="K145" s="4" t="s">
        <v>183</v>
      </c>
      <c r="L145" s="4" t="s">
        <v>183</v>
      </c>
    </row>
    <row r="146" spans="8:12">
      <c r="H146" s="3" t="s">
        <v>629</v>
      </c>
      <c r="I146" s="4" t="s">
        <v>630</v>
      </c>
      <c r="J146" s="4" t="s">
        <v>183</v>
      </c>
      <c r="K146" s="4" t="s">
        <v>183</v>
      </c>
      <c r="L146" s="4" t="s">
        <v>183</v>
      </c>
    </row>
    <row r="147" spans="8:12">
      <c r="H147" s="3" t="s">
        <v>631</v>
      </c>
      <c r="I147" s="4" t="s">
        <v>632</v>
      </c>
      <c r="J147" s="4" t="s">
        <v>183</v>
      </c>
      <c r="K147" s="4" t="s">
        <v>183</v>
      </c>
      <c r="L147" s="4" t="s">
        <v>183</v>
      </c>
    </row>
    <row r="148" spans="8:12">
      <c r="H148" s="3" t="s">
        <v>633</v>
      </c>
      <c r="I148" s="4" t="s">
        <v>634</v>
      </c>
      <c r="J148" s="4" t="s">
        <v>183</v>
      </c>
      <c r="K148" s="4" t="s">
        <v>183</v>
      </c>
      <c r="L148" s="4" t="s">
        <v>183</v>
      </c>
    </row>
    <row r="149" spans="8:12">
      <c r="H149" s="3" t="s">
        <v>635</v>
      </c>
      <c r="I149" s="4" t="s">
        <v>636</v>
      </c>
      <c r="J149" s="4" t="s">
        <v>183</v>
      </c>
      <c r="K149" s="4" t="s">
        <v>183</v>
      </c>
      <c r="L149" s="4" t="s">
        <v>183</v>
      </c>
    </row>
    <row r="150" spans="8:12">
      <c r="H150" s="3" t="s">
        <v>637</v>
      </c>
      <c r="I150" s="4" t="s">
        <v>638</v>
      </c>
      <c r="J150" s="4" t="s">
        <v>183</v>
      </c>
      <c r="K150" s="4" t="s">
        <v>183</v>
      </c>
      <c r="L150" s="4" t="s">
        <v>183</v>
      </c>
    </row>
    <row r="151" spans="8:12">
      <c r="H151" s="3" t="s">
        <v>639</v>
      </c>
      <c r="I151" s="4" t="s">
        <v>640</v>
      </c>
      <c r="J151" s="4" t="s">
        <v>183</v>
      </c>
      <c r="K151" s="4" t="s">
        <v>183</v>
      </c>
      <c r="L151" s="4" t="s">
        <v>183</v>
      </c>
    </row>
    <row r="152" spans="8:12">
      <c r="H152" s="3" t="s">
        <v>641</v>
      </c>
      <c r="I152" s="4" t="s">
        <v>642</v>
      </c>
      <c r="J152" s="4" t="s">
        <v>183</v>
      </c>
      <c r="K152" s="4" t="s">
        <v>183</v>
      </c>
      <c r="L152" s="4" t="s">
        <v>183</v>
      </c>
    </row>
    <row r="153" spans="8:12">
      <c r="H153" s="3" t="s">
        <v>643</v>
      </c>
      <c r="I153" s="4" t="s">
        <v>644</v>
      </c>
      <c r="J153" s="4" t="s">
        <v>183</v>
      </c>
      <c r="K153" s="4" t="s">
        <v>183</v>
      </c>
      <c r="L153" s="4" t="s">
        <v>183</v>
      </c>
    </row>
    <row r="154" spans="8:12">
      <c r="H154" s="3" t="s">
        <v>645</v>
      </c>
      <c r="I154" s="4" t="s">
        <v>646</v>
      </c>
      <c r="J154" s="4" t="s">
        <v>183</v>
      </c>
      <c r="K154" s="4" t="s">
        <v>183</v>
      </c>
      <c r="L154" s="4" t="s">
        <v>183</v>
      </c>
    </row>
    <row r="155" spans="8:12">
      <c r="H155" s="3" t="s">
        <v>647</v>
      </c>
      <c r="I155" s="4" t="s">
        <v>648</v>
      </c>
      <c r="J155" s="4" t="s">
        <v>183</v>
      </c>
      <c r="K155" s="4" t="s">
        <v>183</v>
      </c>
      <c r="L155" s="4" t="s">
        <v>183</v>
      </c>
    </row>
    <row r="156" spans="8:12">
      <c r="H156" s="3" t="s">
        <v>649</v>
      </c>
      <c r="I156" s="4" t="s">
        <v>650</v>
      </c>
      <c r="J156" s="4" t="s">
        <v>183</v>
      </c>
      <c r="K156" s="4" t="s">
        <v>183</v>
      </c>
      <c r="L156" s="4" t="s">
        <v>183</v>
      </c>
    </row>
    <row r="157" spans="8:12">
      <c r="H157" s="3" t="s">
        <v>651</v>
      </c>
      <c r="I157" s="4" t="s">
        <v>652</v>
      </c>
      <c r="J157" s="4" t="s">
        <v>183</v>
      </c>
      <c r="K157" s="4" t="s">
        <v>183</v>
      </c>
      <c r="L157" s="4" t="s">
        <v>183</v>
      </c>
    </row>
    <row r="158" spans="8:12">
      <c r="H158" s="3" t="s">
        <v>653</v>
      </c>
      <c r="I158" s="4" t="s">
        <v>654</v>
      </c>
      <c r="J158" s="4" t="s">
        <v>183</v>
      </c>
      <c r="K158" s="4" t="s">
        <v>183</v>
      </c>
      <c r="L158" s="4" t="s">
        <v>183</v>
      </c>
    </row>
    <row r="159" spans="8:12">
      <c r="H159" s="3" t="s">
        <v>655</v>
      </c>
      <c r="I159" s="4" t="s">
        <v>656</v>
      </c>
      <c r="J159" s="4" t="s">
        <v>183</v>
      </c>
      <c r="K159" s="4" t="s">
        <v>183</v>
      </c>
      <c r="L159" s="4" t="s">
        <v>183</v>
      </c>
    </row>
    <row r="160" spans="8:12">
      <c r="H160" s="3" t="s">
        <v>657</v>
      </c>
      <c r="I160" s="4" t="s">
        <v>658</v>
      </c>
      <c r="J160" s="4" t="s">
        <v>183</v>
      </c>
      <c r="K160" s="4" t="s">
        <v>183</v>
      </c>
      <c r="L160" s="4" t="s">
        <v>183</v>
      </c>
    </row>
    <row r="161" spans="8:12">
      <c r="H161" s="3" t="s">
        <v>659</v>
      </c>
      <c r="I161" s="4" t="s">
        <v>660</v>
      </c>
      <c r="J161" s="4" t="s">
        <v>183</v>
      </c>
      <c r="K161" s="4" t="s">
        <v>183</v>
      </c>
      <c r="L161" s="4" t="s">
        <v>183</v>
      </c>
    </row>
    <row r="162" spans="8:12">
      <c r="H162" s="3" t="s">
        <v>661</v>
      </c>
      <c r="I162" s="4" t="s">
        <v>662</v>
      </c>
      <c r="J162" s="4" t="s">
        <v>183</v>
      </c>
      <c r="K162" s="4" t="s">
        <v>183</v>
      </c>
      <c r="L162" s="4" t="s">
        <v>183</v>
      </c>
    </row>
    <row r="163" spans="8:12">
      <c r="H163" s="3" t="s">
        <v>663</v>
      </c>
      <c r="I163" s="4" t="s">
        <v>664</v>
      </c>
      <c r="J163" s="4" t="s">
        <v>183</v>
      </c>
      <c r="K163" s="4" t="s">
        <v>183</v>
      </c>
      <c r="L163" s="4" t="s">
        <v>183</v>
      </c>
    </row>
    <row r="164" spans="8:12">
      <c r="H164" s="3" t="s">
        <v>665</v>
      </c>
      <c r="I164" s="4" t="s">
        <v>666</v>
      </c>
      <c r="J164" s="4" t="s">
        <v>183</v>
      </c>
      <c r="K164" s="4" t="s">
        <v>183</v>
      </c>
      <c r="L164" s="4" t="s">
        <v>183</v>
      </c>
    </row>
    <row r="165" spans="8:12">
      <c r="H165" s="3" t="s">
        <v>667</v>
      </c>
      <c r="I165" s="4" t="s">
        <v>668</v>
      </c>
      <c r="J165" s="4" t="s">
        <v>183</v>
      </c>
      <c r="K165" s="4" t="s">
        <v>183</v>
      </c>
      <c r="L165" s="4" t="s">
        <v>183</v>
      </c>
    </row>
    <row r="166" spans="8:12">
      <c r="H166" s="3" t="s">
        <v>669</v>
      </c>
      <c r="I166" s="4" t="s">
        <v>670</v>
      </c>
      <c r="J166" s="4" t="s">
        <v>183</v>
      </c>
      <c r="K166" s="4" t="s">
        <v>183</v>
      </c>
      <c r="L166" s="4" t="s">
        <v>183</v>
      </c>
    </row>
    <row r="167" spans="8:12">
      <c r="H167" s="3" t="s">
        <v>671</v>
      </c>
      <c r="I167" s="4" t="s">
        <v>672</v>
      </c>
      <c r="J167" s="4" t="s">
        <v>183</v>
      </c>
      <c r="K167" s="4" t="s">
        <v>183</v>
      </c>
      <c r="L167" s="4" t="s">
        <v>183</v>
      </c>
    </row>
    <row r="168" spans="8:12">
      <c r="H168" s="3" t="s">
        <v>673</v>
      </c>
      <c r="I168" s="4" t="s">
        <v>674</v>
      </c>
      <c r="J168" s="4" t="s">
        <v>183</v>
      </c>
      <c r="K168" s="4" t="s">
        <v>183</v>
      </c>
      <c r="L168" s="4" t="s">
        <v>183</v>
      </c>
    </row>
    <row r="169" spans="8:12">
      <c r="H169" s="3" t="s">
        <v>675</v>
      </c>
      <c r="I169" s="4" t="s">
        <v>676</v>
      </c>
      <c r="J169" s="4" t="s">
        <v>183</v>
      </c>
      <c r="K169" s="4" t="s">
        <v>183</v>
      </c>
      <c r="L169" s="4" t="s">
        <v>183</v>
      </c>
    </row>
    <row r="170" spans="8:12">
      <c r="H170" s="3" t="s">
        <v>677</v>
      </c>
      <c r="I170" s="4" t="s">
        <v>678</v>
      </c>
      <c r="J170" s="4" t="s">
        <v>183</v>
      </c>
      <c r="K170" s="4" t="s">
        <v>183</v>
      </c>
      <c r="L170" s="4" t="s">
        <v>183</v>
      </c>
    </row>
    <row r="171" spans="8:12">
      <c r="H171" s="3" t="s">
        <v>679</v>
      </c>
      <c r="I171" s="4" t="s">
        <v>680</v>
      </c>
      <c r="J171" s="4" t="s">
        <v>183</v>
      </c>
      <c r="K171" s="4" t="s">
        <v>183</v>
      </c>
      <c r="L171" s="4" t="s">
        <v>183</v>
      </c>
    </row>
    <row r="172" spans="8:12">
      <c r="H172" s="3" t="s">
        <v>681</v>
      </c>
      <c r="I172" s="4" t="s">
        <v>682</v>
      </c>
      <c r="J172" s="4" t="s">
        <v>183</v>
      </c>
      <c r="K172" s="4" t="s">
        <v>183</v>
      </c>
      <c r="L172" s="4" t="s">
        <v>183</v>
      </c>
    </row>
    <row r="173" spans="8:12">
      <c r="H173" s="3" t="s">
        <v>683</v>
      </c>
      <c r="I173" s="4" t="s">
        <v>684</v>
      </c>
      <c r="J173" s="4" t="s">
        <v>183</v>
      </c>
      <c r="K173" s="4" t="s">
        <v>183</v>
      </c>
      <c r="L173" s="4" t="s">
        <v>183</v>
      </c>
    </row>
    <row r="174" spans="8:12">
      <c r="H174" s="3" t="s">
        <v>685</v>
      </c>
      <c r="I174" s="4" t="s">
        <v>686</v>
      </c>
      <c r="J174" s="4" t="s">
        <v>183</v>
      </c>
      <c r="K174" s="4" t="s">
        <v>183</v>
      </c>
      <c r="L174" s="4" t="s">
        <v>183</v>
      </c>
    </row>
    <row r="175" spans="8:12">
      <c r="H175" s="3" t="s">
        <v>687</v>
      </c>
      <c r="I175" s="4" t="s">
        <v>688</v>
      </c>
      <c r="J175" s="4" t="s">
        <v>183</v>
      </c>
      <c r="K175" s="4" t="s">
        <v>183</v>
      </c>
      <c r="L175" s="4" t="s">
        <v>183</v>
      </c>
    </row>
    <row r="176" spans="8:12">
      <c r="H176" s="3" t="s">
        <v>689</v>
      </c>
      <c r="I176" s="4" t="s">
        <v>690</v>
      </c>
      <c r="J176" s="4" t="s">
        <v>183</v>
      </c>
      <c r="K176" s="4" t="s">
        <v>183</v>
      </c>
      <c r="L176" s="4" t="s">
        <v>183</v>
      </c>
    </row>
    <row r="177" spans="8:12">
      <c r="H177" s="3" t="s">
        <v>691</v>
      </c>
      <c r="I177" s="4" t="s">
        <v>692</v>
      </c>
      <c r="J177" s="4" t="s">
        <v>183</v>
      </c>
      <c r="K177" s="4" t="s">
        <v>183</v>
      </c>
      <c r="L177" s="4" t="s">
        <v>183</v>
      </c>
    </row>
    <row r="178" spans="8:12">
      <c r="H178" s="3" t="s">
        <v>693</v>
      </c>
      <c r="I178" s="4" t="s">
        <v>694</v>
      </c>
      <c r="J178" s="4" t="s">
        <v>183</v>
      </c>
      <c r="K178" s="4" t="s">
        <v>183</v>
      </c>
      <c r="L178" s="4" t="s">
        <v>183</v>
      </c>
    </row>
    <row r="179" spans="8:12">
      <c r="H179" s="3" t="s">
        <v>695</v>
      </c>
      <c r="I179" s="4" t="s">
        <v>696</v>
      </c>
      <c r="J179" s="4" t="s">
        <v>183</v>
      </c>
      <c r="K179" s="4" t="s">
        <v>183</v>
      </c>
      <c r="L179" s="4" t="s">
        <v>183</v>
      </c>
    </row>
    <row r="180" spans="8:12">
      <c r="H180" s="3" t="s">
        <v>697</v>
      </c>
      <c r="I180" s="4" t="s">
        <v>698</v>
      </c>
      <c r="J180" s="4" t="s">
        <v>183</v>
      </c>
      <c r="K180" s="4" t="s">
        <v>183</v>
      </c>
      <c r="L180" s="4" t="s">
        <v>183</v>
      </c>
    </row>
    <row r="181" spans="8:12">
      <c r="H181" s="3" t="s">
        <v>699</v>
      </c>
      <c r="I181" s="4" t="s">
        <v>700</v>
      </c>
      <c r="J181" s="4" t="s">
        <v>183</v>
      </c>
      <c r="K181" s="4" t="s">
        <v>183</v>
      </c>
      <c r="L181" s="4" t="s">
        <v>183</v>
      </c>
    </row>
    <row r="182" spans="8:12">
      <c r="H182" s="3">
        <v>50724</v>
      </c>
      <c r="I182" s="4" t="s">
        <v>701</v>
      </c>
      <c r="J182" s="4" t="s">
        <v>183</v>
      </c>
      <c r="K182" s="4" t="s">
        <v>183</v>
      </c>
      <c r="L182" s="4" t="s">
        <v>183</v>
      </c>
    </row>
    <row r="183" spans="8:12">
      <c r="H183" s="3" t="s">
        <v>702</v>
      </c>
      <c r="I183" s="4" t="s">
        <v>703</v>
      </c>
      <c r="J183" s="4" t="s">
        <v>183</v>
      </c>
      <c r="K183" s="4" t="s">
        <v>183</v>
      </c>
      <c r="L183" s="4" t="s">
        <v>183</v>
      </c>
    </row>
    <row r="184" spans="8:12">
      <c r="H184" s="3" t="s">
        <v>704</v>
      </c>
      <c r="I184" s="4" t="s">
        <v>705</v>
      </c>
      <c r="J184" s="4" t="s">
        <v>183</v>
      </c>
      <c r="K184" s="4" t="s">
        <v>183</v>
      </c>
      <c r="L184" s="4" t="s">
        <v>183</v>
      </c>
    </row>
    <row r="185" spans="8:12">
      <c r="H185" s="3" t="s">
        <v>706</v>
      </c>
      <c r="I185" s="4" t="s">
        <v>707</v>
      </c>
      <c r="J185" s="4" t="s">
        <v>183</v>
      </c>
      <c r="K185" s="4" t="s">
        <v>183</v>
      </c>
      <c r="L185" s="4" t="s">
        <v>183</v>
      </c>
    </row>
    <row r="186" spans="8:12">
      <c r="H186" s="3" t="s">
        <v>708</v>
      </c>
      <c r="I186" s="4" t="s">
        <v>709</v>
      </c>
      <c r="J186" s="4" t="s">
        <v>183</v>
      </c>
      <c r="K186" s="4" t="s">
        <v>183</v>
      </c>
      <c r="L186" s="4" t="s">
        <v>183</v>
      </c>
    </row>
    <row r="187" spans="8:12">
      <c r="H187" s="3" t="s">
        <v>710</v>
      </c>
      <c r="I187" s="4" t="s">
        <v>711</v>
      </c>
      <c r="J187" s="4" t="s">
        <v>183</v>
      </c>
      <c r="K187" s="4" t="s">
        <v>183</v>
      </c>
      <c r="L187" s="4" t="s">
        <v>183</v>
      </c>
    </row>
    <row r="188" spans="8:12">
      <c r="H188" s="3" t="s">
        <v>712</v>
      </c>
      <c r="I188" s="4" t="s">
        <v>713</v>
      </c>
      <c r="J188" s="4" t="s">
        <v>183</v>
      </c>
      <c r="K188" s="4" t="s">
        <v>183</v>
      </c>
      <c r="L188" s="4" t="s">
        <v>183</v>
      </c>
    </row>
    <row r="189" spans="8:12">
      <c r="H189" s="3" t="s">
        <v>714</v>
      </c>
      <c r="I189" s="4" t="s">
        <v>715</v>
      </c>
      <c r="J189" s="4" t="s">
        <v>183</v>
      </c>
      <c r="K189" s="4" t="s">
        <v>183</v>
      </c>
      <c r="L189" s="4" t="s">
        <v>183</v>
      </c>
    </row>
    <row r="190" spans="8:12">
      <c r="H190" s="3" t="s">
        <v>716</v>
      </c>
      <c r="I190" s="4" t="s">
        <v>717</v>
      </c>
      <c r="J190" s="4" t="s">
        <v>183</v>
      </c>
      <c r="K190" s="4" t="s">
        <v>183</v>
      </c>
      <c r="L190" s="4" t="s">
        <v>183</v>
      </c>
    </row>
    <row r="191" spans="8:12">
      <c r="H191" s="3" t="s">
        <v>718</v>
      </c>
      <c r="I191" s="4" t="s">
        <v>719</v>
      </c>
      <c r="J191" s="4" t="s">
        <v>183</v>
      </c>
      <c r="K191" s="4" t="s">
        <v>183</v>
      </c>
      <c r="L191" s="4" t="s">
        <v>183</v>
      </c>
    </row>
    <row r="192" spans="8:12">
      <c r="H192" s="3" t="s">
        <v>720</v>
      </c>
      <c r="I192" s="4" t="s">
        <v>721</v>
      </c>
      <c r="J192" s="4" t="s">
        <v>183</v>
      </c>
      <c r="K192" s="4" t="s">
        <v>183</v>
      </c>
      <c r="L192" s="4" t="s">
        <v>183</v>
      </c>
    </row>
    <row r="193" spans="8:12">
      <c r="H193" s="3" t="s">
        <v>722</v>
      </c>
      <c r="I193" s="4" t="s">
        <v>723</v>
      </c>
      <c r="J193" s="4" t="s">
        <v>183</v>
      </c>
      <c r="K193" s="4" t="s">
        <v>183</v>
      </c>
      <c r="L193" s="4" t="s">
        <v>183</v>
      </c>
    </row>
    <row r="194" spans="8:12">
      <c r="H194" s="3" t="s">
        <v>724</v>
      </c>
      <c r="I194" s="4" t="s">
        <v>725</v>
      </c>
      <c r="J194" s="4" t="s">
        <v>183</v>
      </c>
      <c r="K194" s="4" t="s">
        <v>183</v>
      </c>
      <c r="L194" s="4" t="s">
        <v>183</v>
      </c>
    </row>
    <row r="195" spans="8:12">
      <c r="H195" s="3" t="s">
        <v>726</v>
      </c>
      <c r="I195" s="4" t="s">
        <v>727</v>
      </c>
      <c r="J195" s="4" t="s">
        <v>183</v>
      </c>
      <c r="K195" s="4" t="s">
        <v>183</v>
      </c>
      <c r="L195" s="4" t="s">
        <v>183</v>
      </c>
    </row>
    <row r="196" spans="8:12">
      <c r="H196" s="3" t="s">
        <v>728</v>
      </c>
      <c r="I196" s="4" t="s">
        <v>729</v>
      </c>
      <c r="J196" s="4" t="s">
        <v>183</v>
      </c>
      <c r="K196" s="4" t="s">
        <v>183</v>
      </c>
      <c r="L196" s="4" t="s">
        <v>183</v>
      </c>
    </row>
    <row r="197" spans="8:12">
      <c r="H197" s="3" t="s">
        <v>730</v>
      </c>
      <c r="I197" s="4" t="s">
        <v>731</v>
      </c>
      <c r="J197" s="4" t="s">
        <v>183</v>
      </c>
      <c r="K197" s="4" t="s">
        <v>183</v>
      </c>
      <c r="L197" s="4" t="s">
        <v>183</v>
      </c>
    </row>
    <row r="198" spans="8:12">
      <c r="H198" s="3" t="s">
        <v>732</v>
      </c>
      <c r="I198" s="4" t="s">
        <v>733</v>
      </c>
      <c r="J198" s="4" t="s">
        <v>183</v>
      </c>
      <c r="K198" s="4" t="s">
        <v>183</v>
      </c>
      <c r="L198" s="4" t="s">
        <v>183</v>
      </c>
    </row>
    <row r="199" spans="8:12">
      <c r="H199" s="3" t="s">
        <v>734</v>
      </c>
      <c r="I199" s="4" t="s">
        <v>735</v>
      </c>
      <c r="J199" s="4" t="s">
        <v>183</v>
      </c>
      <c r="K199" s="4" t="s">
        <v>183</v>
      </c>
      <c r="L199" s="4" t="s">
        <v>183</v>
      </c>
    </row>
    <row r="200" spans="8:12">
      <c r="H200" s="3" t="s">
        <v>736</v>
      </c>
      <c r="I200" s="4" t="s">
        <v>737</v>
      </c>
      <c r="J200" s="4" t="s">
        <v>183</v>
      </c>
      <c r="K200" s="4" t="s">
        <v>183</v>
      </c>
      <c r="L200" s="4" t="s">
        <v>183</v>
      </c>
    </row>
    <row r="201" spans="8:12">
      <c r="H201" s="3">
        <v>50863</v>
      </c>
      <c r="I201" s="4" t="s">
        <v>738</v>
      </c>
      <c r="J201" s="4" t="s">
        <v>183</v>
      </c>
      <c r="K201" s="4" t="s">
        <v>183</v>
      </c>
      <c r="L201" s="4" t="s">
        <v>183</v>
      </c>
    </row>
    <row r="202" spans="8:12">
      <c r="H202" s="3" t="s">
        <v>739</v>
      </c>
      <c r="I202" s="4" t="s">
        <v>740</v>
      </c>
      <c r="J202" s="4" t="s">
        <v>183</v>
      </c>
      <c r="K202" s="4" t="s">
        <v>183</v>
      </c>
      <c r="L202" s="4" t="s">
        <v>183</v>
      </c>
    </row>
    <row r="203" spans="8:12">
      <c r="H203" s="3" t="s">
        <v>741</v>
      </c>
      <c r="I203" s="4" t="s">
        <v>742</v>
      </c>
      <c r="J203" s="4" t="s">
        <v>183</v>
      </c>
      <c r="K203" s="4" t="s">
        <v>183</v>
      </c>
      <c r="L203" s="4" t="s">
        <v>183</v>
      </c>
    </row>
    <row r="204" spans="8:12">
      <c r="H204" s="3" t="s">
        <v>743</v>
      </c>
      <c r="I204" s="4" t="s">
        <v>744</v>
      </c>
      <c r="J204" s="4" t="s">
        <v>183</v>
      </c>
      <c r="K204" s="4" t="s">
        <v>183</v>
      </c>
      <c r="L204" s="4" t="s">
        <v>183</v>
      </c>
    </row>
    <row r="205" spans="8:12">
      <c r="H205" s="3" t="s">
        <v>745</v>
      </c>
      <c r="I205" s="4" t="s">
        <v>746</v>
      </c>
      <c r="J205" s="4" t="s">
        <v>183</v>
      </c>
      <c r="K205" s="4" t="s">
        <v>183</v>
      </c>
      <c r="L205" s="4" t="s">
        <v>183</v>
      </c>
    </row>
    <row r="206" spans="8:12">
      <c r="H206" s="3" t="s">
        <v>747</v>
      </c>
      <c r="I206" s="4" t="s">
        <v>748</v>
      </c>
      <c r="J206" s="4" t="s">
        <v>183</v>
      </c>
      <c r="K206" s="4" t="s">
        <v>183</v>
      </c>
      <c r="L206" s="4" t="s">
        <v>183</v>
      </c>
    </row>
    <row r="207" spans="8:12">
      <c r="H207" s="3" t="s">
        <v>749</v>
      </c>
      <c r="I207" s="4" t="s">
        <v>750</v>
      </c>
      <c r="J207" s="4" t="s">
        <v>183</v>
      </c>
      <c r="K207" s="4" t="s">
        <v>183</v>
      </c>
      <c r="L207" s="4" t="s">
        <v>183</v>
      </c>
    </row>
    <row r="208" spans="8:12">
      <c r="H208" s="3" t="s">
        <v>751</v>
      </c>
      <c r="I208" s="4" t="s">
        <v>752</v>
      </c>
      <c r="J208" s="4" t="s">
        <v>183</v>
      </c>
      <c r="K208" s="4" t="s">
        <v>183</v>
      </c>
      <c r="L208" s="4" t="s">
        <v>183</v>
      </c>
    </row>
    <row r="209" spans="8:12">
      <c r="H209" s="3" t="s">
        <v>753</v>
      </c>
      <c r="I209" s="4" t="s">
        <v>754</v>
      </c>
      <c r="J209" s="4" t="s">
        <v>183</v>
      </c>
      <c r="K209" s="4" t="s">
        <v>183</v>
      </c>
      <c r="L209" s="4" t="s">
        <v>183</v>
      </c>
    </row>
    <row r="210" spans="8:12">
      <c r="H210" s="3" t="s">
        <v>755</v>
      </c>
      <c r="I210" s="4" t="s">
        <v>756</v>
      </c>
      <c r="J210" s="4" t="s">
        <v>183</v>
      </c>
      <c r="K210" s="4" t="s">
        <v>183</v>
      </c>
      <c r="L210" s="4" t="s">
        <v>183</v>
      </c>
    </row>
    <row r="211" spans="8:12">
      <c r="H211" s="3" t="s">
        <v>757</v>
      </c>
      <c r="I211" s="4" t="s">
        <v>758</v>
      </c>
      <c r="J211" s="4" t="s">
        <v>183</v>
      </c>
      <c r="K211" s="4" t="s">
        <v>183</v>
      </c>
      <c r="L211" s="4" t="s">
        <v>183</v>
      </c>
    </row>
    <row r="212" spans="8:12">
      <c r="H212" s="3" t="s">
        <v>759</v>
      </c>
      <c r="I212" s="4" t="s">
        <v>760</v>
      </c>
      <c r="J212" s="4" t="s">
        <v>183</v>
      </c>
      <c r="K212" s="4" t="s">
        <v>183</v>
      </c>
      <c r="L212" s="4" t="s">
        <v>183</v>
      </c>
    </row>
    <row r="213" spans="8:12">
      <c r="H213" s="3" t="s">
        <v>761</v>
      </c>
      <c r="I213" s="4" t="s">
        <v>762</v>
      </c>
      <c r="J213" s="4" t="s">
        <v>183</v>
      </c>
      <c r="K213" s="4" t="s">
        <v>183</v>
      </c>
      <c r="L213" s="4" t="s">
        <v>183</v>
      </c>
    </row>
    <row r="214" spans="8:12">
      <c r="H214" s="3" t="s">
        <v>763</v>
      </c>
      <c r="I214" s="4" t="s">
        <v>764</v>
      </c>
      <c r="J214" s="4" t="s">
        <v>183</v>
      </c>
      <c r="K214" s="4" t="s">
        <v>183</v>
      </c>
      <c r="L214" s="4" t="s">
        <v>183</v>
      </c>
    </row>
    <row r="215" spans="8:12">
      <c r="H215" s="3" t="s">
        <v>765</v>
      </c>
      <c r="I215" s="4" t="s">
        <v>766</v>
      </c>
      <c r="J215" s="4" t="s">
        <v>183</v>
      </c>
      <c r="K215" s="4" t="s">
        <v>183</v>
      </c>
      <c r="L215" s="4" t="s">
        <v>183</v>
      </c>
    </row>
    <row r="216" spans="8:12">
      <c r="H216" s="3" t="s">
        <v>767</v>
      </c>
      <c r="I216" s="4" t="s">
        <v>768</v>
      </c>
      <c r="J216" s="4" t="s">
        <v>183</v>
      </c>
      <c r="K216" s="4" t="s">
        <v>183</v>
      </c>
      <c r="L216" s="4" t="s">
        <v>183</v>
      </c>
    </row>
    <row r="217" spans="8:12">
      <c r="H217" s="3" t="s">
        <v>769</v>
      </c>
      <c r="I217" s="4" t="s">
        <v>770</v>
      </c>
      <c r="J217" s="4" t="s">
        <v>183</v>
      </c>
      <c r="K217" s="4" t="s">
        <v>183</v>
      </c>
      <c r="L217" s="4" t="s">
        <v>183</v>
      </c>
    </row>
    <row r="218" spans="8:12">
      <c r="H218" s="3" t="s">
        <v>771</v>
      </c>
      <c r="I218" s="4" t="s">
        <v>772</v>
      </c>
      <c r="J218" s="4" t="s">
        <v>183</v>
      </c>
      <c r="K218" s="4" t="s">
        <v>183</v>
      </c>
      <c r="L218" s="4" t="s">
        <v>183</v>
      </c>
    </row>
    <row r="219" spans="8:12">
      <c r="H219" s="3" t="s">
        <v>773</v>
      </c>
      <c r="I219" s="4" t="s">
        <v>774</v>
      </c>
      <c r="J219" s="4" t="s">
        <v>183</v>
      </c>
      <c r="K219" s="4" t="s">
        <v>183</v>
      </c>
      <c r="L219" s="4" t="s">
        <v>183</v>
      </c>
    </row>
    <row r="220" spans="8:12">
      <c r="H220" s="3" t="s">
        <v>775</v>
      </c>
      <c r="I220" s="4" t="s">
        <v>776</v>
      </c>
      <c r="J220" s="4" t="s">
        <v>183</v>
      </c>
      <c r="K220" s="4" t="s">
        <v>183</v>
      </c>
      <c r="L220" s="4" t="s">
        <v>183</v>
      </c>
    </row>
    <row r="221" spans="8:12">
      <c r="H221" s="3" t="s">
        <v>777</v>
      </c>
      <c r="I221" s="4" t="s">
        <v>778</v>
      </c>
      <c r="J221" s="4" t="s">
        <v>183</v>
      </c>
      <c r="K221" s="4" t="s">
        <v>183</v>
      </c>
      <c r="L221" s="4" t="s">
        <v>183</v>
      </c>
    </row>
    <row r="222" spans="8:12">
      <c r="H222" s="3" t="s">
        <v>779</v>
      </c>
      <c r="I222" s="4" t="s">
        <v>780</v>
      </c>
      <c r="J222" s="4" t="s">
        <v>183</v>
      </c>
      <c r="K222" s="4" t="s">
        <v>183</v>
      </c>
      <c r="L222" s="4" t="s">
        <v>183</v>
      </c>
    </row>
    <row r="223" spans="8:12">
      <c r="H223" s="3" t="s">
        <v>781</v>
      </c>
      <c r="I223" s="4" t="s">
        <v>782</v>
      </c>
      <c r="J223" s="4" t="s">
        <v>183</v>
      </c>
      <c r="K223" s="4" t="s">
        <v>183</v>
      </c>
      <c r="L223" s="4" t="s">
        <v>183</v>
      </c>
    </row>
    <row r="224" spans="8:12">
      <c r="H224" s="3" t="s">
        <v>783</v>
      </c>
      <c r="I224" s="4" t="s">
        <v>784</v>
      </c>
      <c r="J224" s="4" t="s">
        <v>183</v>
      </c>
      <c r="K224" s="4" t="s">
        <v>183</v>
      </c>
      <c r="L224" s="4" t="s">
        <v>183</v>
      </c>
    </row>
    <row r="225" spans="8:12">
      <c r="H225" s="3" t="s">
        <v>785</v>
      </c>
      <c r="I225" s="4" t="s">
        <v>786</v>
      </c>
      <c r="J225" s="4" t="s">
        <v>183</v>
      </c>
      <c r="K225" s="4" t="s">
        <v>183</v>
      </c>
      <c r="L225" s="4" t="s">
        <v>183</v>
      </c>
    </row>
    <row r="226" spans="8:12">
      <c r="H226" s="3" t="s">
        <v>787</v>
      </c>
      <c r="I226" s="4" t="s">
        <v>788</v>
      </c>
      <c r="J226" s="4" t="s">
        <v>183</v>
      </c>
      <c r="K226" s="4" t="s">
        <v>183</v>
      </c>
      <c r="L226" s="4" t="s">
        <v>183</v>
      </c>
    </row>
    <row r="227" spans="8:12">
      <c r="H227" s="3" t="s">
        <v>789</v>
      </c>
      <c r="I227" s="4" t="s">
        <v>790</v>
      </c>
      <c r="J227" s="4" t="s">
        <v>183</v>
      </c>
      <c r="K227" s="4" t="s">
        <v>183</v>
      </c>
      <c r="L227" s="4" t="s">
        <v>183</v>
      </c>
    </row>
    <row r="228" spans="8:12">
      <c r="H228" s="3" t="s">
        <v>791</v>
      </c>
      <c r="I228" s="4" t="s">
        <v>792</v>
      </c>
      <c r="J228" s="4" t="s">
        <v>183</v>
      </c>
      <c r="K228" s="4" t="s">
        <v>183</v>
      </c>
      <c r="L228" s="4" t="s">
        <v>183</v>
      </c>
    </row>
    <row r="229" spans="8:12">
      <c r="H229" s="3" t="s">
        <v>793</v>
      </c>
      <c r="I229" s="4" t="s">
        <v>794</v>
      </c>
      <c r="J229" s="4" t="s">
        <v>183</v>
      </c>
      <c r="K229" s="4" t="s">
        <v>183</v>
      </c>
      <c r="L229" s="4" t="s">
        <v>183</v>
      </c>
    </row>
    <row r="230" spans="8:12">
      <c r="H230" s="3" t="s">
        <v>795</v>
      </c>
      <c r="I230" s="4" t="s">
        <v>796</v>
      </c>
      <c r="J230" s="4" t="s">
        <v>183</v>
      </c>
      <c r="K230" s="4" t="s">
        <v>183</v>
      </c>
      <c r="L230" s="4" t="s">
        <v>183</v>
      </c>
    </row>
    <row r="231" spans="8:12">
      <c r="H231" s="3" t="s">
        <v>797</v>
      </c>
      <c r="I231" s="4" t="s">
        <v>798</v>
      </c>
      <c r="J231" s="4" t="s">
        <v>183</v>
      </c>
      <c r="K231" s="4" t="s">
        <v>183</v>
      </c>
      <c r="L231" s="4" t="s">
        <v>183</v>
      </c>
    </row>
    <row r="232" spans="8:12">
      <c r="H232" s="3" t="s">
        <v>799</v>
      </c>
      <c r="I232" s="4" t="s">
        <v>800</v>
      </c>
      <c r="J232" s="4" t="s">
        <v>183</v>
      </c>
      <c r="K232" s="4" t="s">
        <v>183</v>
      </c>
      <c r="L232" s="4" t="s">
        <v>183</v>
      </c>
    </row>
    <row r="233" spans="8:12">
      <c r="H233" s="3" t="s">
        <v>801</v>
      </c>
      <c r="I233" s="4" t="s">
        <v>802</v>
      </c>
      <c r="J233" s="4" t="s">
        <v>183</v>
      </c>
      <c r="K233" s="4" t="s">
        <v>183</v>
      </c>
      <c r="L233" s="4" t="s">
        <v>183</v>
      </c>
    </row>
    <row r="234" spans="8:12">
      <c r="H234" s="3" t="s">
        <v>803</v>
      </c>
      <c r="I234" s="4" t="s">
        <v>804</v>
      </c>
      <c r="J234" s="4" t="s">
        <v>183</v>
      </c>
      <c r="K234" s="4" t="s">
        <v>183</v>
      </c>
      <c r="L234" s="4" t="s">
        <v>183</v>
      </c>
    </row>
    <row r="235" spans="8:12">
      <c r="H235" s="3" t="s">
        <v>805</v>
      </c>
      <c r="I235" s="4" t="s">
        <v>806</v>
      </c>
      <c r="J235" s="4" t="s">
        <v>183</v>
      </c>
      <c r="K235" s="4" t="s">
        <v>183</v>
      </c>
      <c r="L235" s="4" t="s">
        <v>183</v>
      </c>
    </row>
    <row r="236" spans="8:12">
      <c r="H236" s="3" t="s">
        <v>807</v>
      </c>
      <c r="I236" s="4" t="s">
        <v>808</v>
      </c>
      <c r="J236" s="4" t="s">
        <v>183</v>
      </c>
      <c r="K236" s="4" t="s">
        <v>183</v>
      </c>
      <c r="L236" s="4" t="s">
        <v>183</v>
      </c>
    </row>
    <row r="237" spans="8:12">
      <c r="H237" s="3" t="s">
        <v>809</v>
      </c>
      <c r="I237" s="4" t="s">
        <v>810</v>
      </c>
      <c r="J237" s="4" t="s">
        <v>183</v>
      </c>
      <c r="K237" s="4" t="s">
        <v>183</v>
      </c>
      <c r="L237" s="4" t="s">
        <v>183</v>
      </c>
    </row>
    <row r="238" spans="8:12">
      <c r="H238" s="3" t="s">
        <v>811</v>
      </c>
      <c r="I238" s="4" t="s">
        <v>812</v>
      </c>
      <c r="J238" s="4" t="s">
        <v>183</v>
      </c>
      <c r="K238" s="4" t="s">
        <v>183</v>
      </c>
      <c r="L238" s="4" t="s">
        <v>183</v>
      </c>
    </row>
    <row r="239" spans="8:12">
      <c r="H239" s="3" t="s">
        <v>813</v>
      </c>
      <c r="I239" s="4" t="s">
        <v>814</v>
      </c>
      <c r="J239" s="4" t="s">
        <v>183</v>
      </c>
      <c r="K239" s="4" t="s">
        <v>183</v>
      </c>
      <c r="L239" s="4" t="s">
        <v>183</v>
      </c>
    </row>
    <row r="240" spans="8:12">
      <c r="H240" s="3" t="s">
        <v>815</v>
      </c>
      <c r="I240" s="4" t="s">
        <v>816</v>
      </c>
      <c r="J240" s="4" t="s">
        <v>183</v>
      </c>
      <c r="K240" s="4" t="s">
        <v>183</v>
      </c>
      <c r="L240" s="4" t="s">
        <v>183</v>
      </c>
    </row>
    <row r="241" spans="8:12">
      <c r="H241" s="3" t="s">
        <v>817</v>
      </c>
      <c r="I241" s="4" t="s">
        <v>818</v>
      </c>
      <c r="J241" s="4" t="s">
        <v>183</v>
      </c>
      <c r="K241" s="4" t="s">
        <v>183</v>
      </c>
      <c r="L241" s="4" t="s">
        <v>183</v>
      </c>
    </row>
    <row r="242" spans="8:12">
      <c r="H242" s="3" t="s">
        <v>819</v>
      </c>
      <c r="I242" s="4" t="s">
        <v>820</v>
      </c>
      <c r="J242" s="4" t="s">
        <v>183</v>
      </c>
      <c r="K242" s="4" t="s">
        <v>183</v>
      </c>
      <c r="L242" s="4" t="s">
        <v>183</v>
      </c>
    </row>
    <row r="243" spans="8:12">
      <c r="H243" s="3" t="s">
        <v>821</v>
      </c>
      <c r="I243" s="4" t="s">
        <v>822</v>
      </c>
      <c r="J243" s="4" t="s">
        <v>183</v>
      </c>
      <c r="K243" s="4" t="s">
        <v>183</v>
      </c>
      <c r="L243" s="4" t="s">
        <v>183</v>
      </c>
    </row>
    <row r="244" spans="8:12">
      <c r="H244" s="3" t="s">
        <v>823</v>
      </c>
      <c r="I244" s="4" t="s">
        <v>824</v>
      </c>
      <c r="J244" s="4" t="s">
        <v>183</v>
      </c>
      <c r="K244" s="4" t="s">
        <v>183</v>
      </c>
      <c r="L244" s="4" t="s">
        <v>183</v>
      </c>
    </row>
    <row r="245" spans="8:12">
      <c r="H245" s="3" t="s">
        <v>825</v>
      </c>
      <c r="I245" s="4" t="s">
        <v>826</v>
      </c>
      <c r="J245" s="4" t="s">
        <v>183</v>
      </c>
      <c r="K245" s="4" t="s">
        <v>183</v>
      </c>
      <c r="L245" s="4" t="s">
        <v>183</v>
      </c>
    </row>
    <row r="246" spans="8:12">
      <c r="H246" s="3" t="s">
        <v>827</v>
      </c>
      <c r="I246" s="4" t="s">
        <v>828</v>
      </c>
      <c r="J246" s="4" t="s">
        <v>183</v>
      </c>
      <c r="K246" s="4" t="s">
        <v>183</v>
      </c>
      <c r="L246" s="4" t="s">
        <v>183</v>
      </c>
    </row>
    <row r="247" spans="8:12">
      <c r="H247" s="3" t="s">
        <v>829</v>
      </c>
      <c r="I247" s="4" t="s">
        <v>830</v>
      </c>
      <c r="J247" s="4" t="s">
        <v>183</v>
      </c>
      <c r="K247" s="4" t="s">
        <v>183</v>
      </c>
      <c r="L247" s="4" t="s">
        <v>183</v>
      </c>
    </row>
    <row r="248" spans="8:12">
      <c r="H248" s="3">
        <v>50096</v>
      </c>
      <c r="I248" s="4" t="s">
        <v>831</v>
      </c>
      <c r="J248" s="4" t="s">
        <v>183</v>
      </c>
      <c r="K248" s="4" t="s">
        <v>183</v>
      </c>
      <c r="L248" s="4" t="s">
        <v>183</v>
      </c>
    </row>
    <row r="249" spans="8:12">
      <c r="H249" s="3" t="s">
        <v>832</v>
      </c>
      <c r="I249" s="4" t="s">
        <v>833</v>
      </c>
      <c r="J249" s="4" t="s">
        <v>183</v>
      </c>
      <c r="K249" s="4" t="s">
        <v>183</v>
      </c>
      <c r="L249" s="4" t="s">
        <v>183</v>
      </c>
    </row>
    <row r="250" spans="8:12">
      <c r="H250" s="3" t="s">
        <v>834</v>
      </c>
      <c r="I250" s="4" t="s">
        <v>835</v>
      </c>
      <c r="J250" s="4" t="s">
        <v>183</v>
      </c>
      <c r="K250" s="4" t="s">
        <v>183</v>
      </c>
      <c r="L250" s="4" t="s">
        <v>183</v>
      </c>
    </row>
    <row r="251" spans="8:12">
      <c r="H251" s="3" t="s">
        <v>836</v>
      </c>
      <c r="I251" s="4" t="s">
        <v>837</v>
      </c>
      <c r="J251" s="4" t="s">
        <v>183</v>
      </c>
      <c r="K251" s="4" t="s">
        <v>183</v>
      </c>
      <c r="L251" s="4" t="s">
        <v>183</v>
      </c>
    </row>
    <row r="252" spans="8:12">
      <c r="H252" s="3" t="s">
        <v>838</v>
      </c>
      <c r="I252" s="4" t="s">
        <v>839</v>
      </c>
      <c r="J252" s="4" t="s">
        <v>183</v>
      </c>
      <c r="K252" s="4" t="s">
        <v>183</v>
      </c>
      <c r="L252" s="4" t="s">
        <v>183</v>
      </c>
    </row>
    <row r="253" spans="8:12">
      <c r="H253" s="3" t="s">
        <v>840</v>
      </c>
      <c r="I253" s="4" t="s">
        <v>841</v>
      </c>
      <c r="J253" s="4" t="s">
        <v>183</v>
      </c>
      <c r="K253" s="4" t="s">
        <v>183</v>
      </c>
      <c r="L253" s="4" t="s">
        <v>183</v>
      </c>
    </row>
    <row r="254" spans="8:12">
      <c r="H254" s="3" t="s">
        <v>842</v>
      </c>
      <c r="I254" s="4" t="s">
        <v>843</v>
      </c>
      <c r="J254" s="4" t="s">
        <v>183</v>
      </c>
      <c r="K254" s="4" t="s">
        <v>183</v>
      </c>
      <c r="L254" s="4" t="s">
        <v>183</v>
      </c>
    </row>
    <row r="255" spans="8:12">
      <c r="H255" s="3" t="s">
        <v>844</v>
      </c>
      <c r="I255" s="4" t="s">
        <v>845</v>
      </c>
      <c r="J255" s="4" t="s">
        <v>183</v>
      </c>
      <c r="K255" s="4" t="s">
        <v>183</v>
      </c>
      <c r="L255" s="4" t="s">
        <v>183</v>
      </c>
    </row>
    <row r="256" spans="8:12">
      <c r="H256" s="3" t="s">
        <v>846</v>
      </c>
      <c r="I256" s="4" t="s">
        <v>847</v>
      </c>
      <c r="J256" s="4" t="s">
        <v>183</v>
      </c>
      <c r="K256" s="4" t="s">
        <v>183</v>
      </c>
      <c r="L256" s="4" t="s">
        <v>183</v>
      </c>
    </row>
    <row r="257" spans="8:12">
      <c r="H257" s="3" t="s">
        <v>848</v>
      </c>
      <c r="I257" s="4" t="s">
        <v>849</v>
      </c>
      <c r="J257" s="4" t="s">
        <v>183</v>
      </c>
      <c r="K257" s="4" t="s">
        <v>183</v>
      </c>
      <c r="L257" s="4" t="s">
        <v>183</v>
      </c>
    </row>
    <row r="258" spans="8:12">
      <c r="H258" s="3" t="s">
        <v>850</v>
      </c>
      <c r="I258" s="4" t="s">
        <v>851</v>
      </c>
      <c r="J258" s="4" t="s">
        <v>183</v>
      </c>
      <c r="K258" s="4" t="s">
        <v>183</v>
      </c>
      <c r="L258" s="4" t="s">
        <v>183</v>
      </c>
    </row>
    <row r="259" spans="8:12">
      <c r="H259" s="3" t="s">
        <v>852</v>
      </c>
      <c r="I259" s="4" t="s">
        <v>853</v>
      </c>
      <c r="J259" s="4" t="s">
        <v>183</v>
      </c>
      <c r="K259" s="4" t="s">
        <v>183</v>
      </c>
      <c r="L259" s="4" t="s">
        <v>183</v>
      </c>
    </row>
    <row r="260" spans="8:12">
      <c r="H260" s="3" t="s">
        <v>854</v>
      </c>
      <c r="I260" s="4" t="s">
        <v>855</v>
      </c>
      <c r="J260" s="4" t="s">
        <v>183</v>
      </c>
      <c r="K260" s="4" t="s">
        <v>183</v>
      </c>
      <c r="L260" s="4" t="s">
        <v>183</v>
      </c>
    </row>
    <row r="261" spans="8:12">
      <c r="H261" s="3" t="s">
        <v>856</v>
      </c>
      <c r="I261" s="4" t="s">
        <v>857</v>
      </c>
      <c r="J261" s="4" t="s">
        <v>183</v>
      </c>
      <c r="K261" s="4" t="s">
        <v>183</v>
      </c>
      <c r="L261" s="4" t="s">
        <v>183</v>
      </c>
    </row>
    <row r="262" spans="8:12">
      <c r="H262" s="3" t="s">
        <v>858</v>
      </c>
      <c r="I262" s="4" t="s">
        <v>859</v>
      </c>
      <c r="J262" s="4" t="s">
        <v>183</v>
      </c>
      <c r="K262" s="4" t="s">
        <v>183</v>
      </c>
      <c r="L262" s="4" t="s">
        <v>183</v>
      </c>
    </row>
    <row r="263" spans="8:12">
      <c r="H263" s="3" t="s">
        <v>860</v>
      </c>
      <c r="I263" s="4" t="s">
        <v>861</v>
      </c>
      <c r="J263" s="4" t="s">
        <v>183</v>
      </c>
      <c r="K263" s="4" t="s">
        <v>183</v>
      </c>
      <c r="L263" s="4" t="s">
        <v>183</v>
      </c>
    </row>
    <row r="264" spans="8:12">
      <c r="H264" s="3" t="s">
        <v>862</v>
      </c>
      <c r="I264" s="4" t="s">
        <v>863</v>
      </c>
      <c r="J264" s="4" t="s">
        <v>183</v>
      </c>
      <c r="K264" s="4" t="s">
        <v>183</v>
      </c>
      <c r="L264" s="4" t="s">
        <v>183</v>
      </c>
    </row>
    <row r="265" spans="8:12">
      <c r="H265" s="3" t="s">
        <v>864</v>
      </c>
      <c r="I265" s="4" t="s">
        <v>865</v>
      </c>
      <c r="J265" s="4" t="s">
        <v>183</v>
      </c>
      <c r="K265" s="4" t="s">
        <v>183</v>
      </c>
      <c r="L265" s="4" t="s">
        <v>183</v>
      </c>
    </row>
    <row r="266" spans="8:12">
      <c r="H266" s="3" t="s">
        <v>866</v>
      </c>
      <c r="I266" s="4" t="s">
        <v>867</v>
      </c>
      <c r="J266" s="4" t="s">
        <v>183</v>
      </c>
      <c r="K266" s="4" t="s">
        <v>183</v>
      </c>
      <c r="L266" s="4" t="s">
        <v>183</v>
      </c>
    </row>
    <row r="267" spans="8:12">
      <c r="H267" s="3" t="s">
        <v>868</v>
      </c>
      <c r="I267" s="4" t="s">
        <v>869</v>
      </c>
      <c r="J267" s="4" t="s">
        <v>183</v>
      </c>
      <c r="K267" s="4" t="s">
        <v>183</v>
      </c>
      <c r="L267" s="4" t="s">
        <v>183</v>
      </c>
    </row>
    <row r="268" spans="8:12">
      <c r="H268" s="3" t="s">
        <v>870</v>
      </c>
      <c r="I268" s="4" t="s">
        <v>871</v>
      </c>
      <c r="J268" s="4" t="s">
        <v>183</v>
      </c>
      <c r="K268" s="4" t="s">
        <v>183</v>
      </c>
      <c r="L268" s="4" t="s">
        <v>183</v>
      </c>
    </row>
    <row r="269" spans="8:12">
      <c r="H269" s="3" t="s">
        <v>872</v>
      </c>
      <c r="I269" s="4" t="s">
        <v>873</v>
      </c>
      <c r="J269" s="4" t="s">
        <v>183</v>
      </c>
      <c r="K269" s="4" t="s">
        <v>183</v>
      </c>
      <c r="L269" s="4" t="s">
        <v>183</v>
      </c>
    </row>
    <row r="270" spans="8:12">
      <c r="H270" s="3" t="s">
        <v>874</v>
      </c>
      <c r="I270" s="4" t="s">
        <v>875</v>
      </c>
      <c r="J270" s="4" t="s">
        <v>183</v>
      </c>
      <c r="K270" s="4" t="s">
        <v>183</v>
      </c>
      <c r="L270" s="4" t="s">
        <v>183</v>
      </c>
    </row>
    <row r="271" spans="8:12">
      <c r="H271" s="3" t="s">
        <v>876</v>
      </c>
      <c r="I271" s="4" t="s">
        <v>877</v>
      </c>
      <c r="J271" s="4" t="s">
        <v>183</v>
      </c>
      <c r="K271" s="4" t="s">
        <v>183</v>
      </c>
      <c r="L271" s="4" t="s">
        <v>183</v>
      </c>
    </row>
    <row r="272" spans="8:12">
      <c r="H272" s="3" t="s">
        <v>878</v>
      </c>
      <c r="I272" s="4" t="s">
        <v>879</v>
      </c>
      <c r="J272" s="4" t="s">
        <v>183</v>
      </c>
      <c r="K272" s="4" t="s">
        <v>183</v>
      </c>
      <c r="L272" s="4" t="s">
        <v>183</v>
      </c>
    </row>
    <row r="273" spans="8:12">
      <c r="H273" s="3" t="s">
        <v>880</v>
      </c>
      <c r="I273" s="4" t="s">
        <v>881</v>
      </c>
      <c r="J273" s="4" t="s">
        <v>183</v>
      </c>
      <c r="K273" s="4" t="s">
        <v>183</v>
      </c>
      <c r="L273" s="4" t="s">
        <v>183</v>
      </c>
    </row>
    <row r="274" spans="8:12">
      <c r="H274" s="3" t="s">
        <v>882</v>
      </c>
      <c r="I274" s="4" t="s">
        <v>883</v>
      </c>
      <c r="J274" s="4" t="s">
        <v>183</v>
      </c>
      <c r="K274" s="4" t="s">
        <v>183</v>
      </c>
      <c r="L274" s="4" t="s">
        <v>183</v>
      </c>
    </row>
    <row r="275" spans="8:12">
      <c r="H275" s="3" t="s">
        <v>884</v>
      </c>
      <c r="I275" s="4" t="s">
        <v>885</v>
      </c>
      <c r="J275" s="4" t="s">
        <v>183</v>
      </c>
      <c r="K275" s="4" t="s">
        <v>183</v>
      </c>
      <c r="L275" s="4" t="s">
        <v>183</v>
      </c>
    </row>
    <row r="276" spans="8:12">
      <c r="H276" s="3" t="s">
        <v>886</v>
      </c>
      <c r="I276" s="4" t="s">
        <v>887</v>
      </c>
      <c r="J276" s="4" t="s">
        <v>183</v>
      </c>
      <c r="K276" s="4" t="s">
        <v>183</v>
      </c>
      <c r="L276" s="4" t="s">
        <v>183</v>
      </c>
    </row>
    <row r="277" spans="8:12">
      <c r="H277" s="3" t="s">
        <v>888</v>
      </c>
      <c r="I277" s="4" t="s">
        <v>889</v>
      </c>
      <c r="J277" s="4" t="s">
        <v>183</v>
      </c>
      <c r="K277" s="4" t="s">
        <v>183</v>
      </c>
      <c r="L277" s="4" t="s">
        <v>183</v>
      </c>
    </row>
    <row r="278" spans="8:12">
      <c r="H278" s="3" t="s">
        <v>890</v>
      </c>
      <c r="I278" s="4" t="s">
        <v>891</v>
      </c>
      <c r="J278" s="4" t="s">
        <v>183</v>
      </c>
      <c r="K278" s="4" t="s">
        <v>183</v>
      </c>
      <c r="L278" s="4" t="s">
        <v>183</v>
      </c>
    </row>
    <row r="279" spans="8:12">
      <c r="H279" s="3" t="s">
        <v>892</v>
      </c>
      <c r="I279" s="4" t="s">
        <v>893</v>
      </c>
      <c r="J279" s="4" t="s">
        <v>183</v>
      </c>
      <c r="K279" s="4" t="s">
        <v>183</v>
      </c>
      <c r="L279" s="4" t="s">
        <v>183</v>
      </c>
    </row>
    <row r="280" spans="8:12">
      <c r="H280" s="3" t="s">
        <v>894</v>
      </c>
      <c r="I280" s="4" t="s">
        <v>895</v>
      </c>
      <c r="J280" s="4" t="s">
        <v>183</v>
      </c>
      <c r="K280" s="4" t="s">
        <v>183</v>
      </c>
      <c r="L280" s="4" t="s">
        <v>183</v>
      </c>
    </row>
    <row r="281" spans="8:12">
      <c r="H281" s="3" t="s">
        <v>896</v>
      </c>
      <c r="I281" s="4" t="s">
        <v>897</v>
      </c>
      <c r="J281" s="4" t="s">
        <v>183</v>
      </c>
      <c r="K281" s="4" t="s">
        <v>183</v>
      </c>
      <c r="L281" s="4" t="s">
        <v>183</v>
      </c>
    </row>
    <row r="282" spans="8:12">
      <c r="H282" s="3" t="s">
        <v>898</v>
      </c>
      <c r="I282" s="4" t="s">
        <v>899</v>
      </c>
      <c r="J282" s="4" t="s">
        <v>183</v>
      </c>
      <c r="K282" s="4" t="s">
        <v>183</v>
      </c>
      <c r="L282" s="4" t="s">
        <v>183</v>
      </c>
    </row>
    <row r="283" spans="8:12">
      <c r="H283" s="3" t="s">
        <v>900</v>
      </c>
      <c r="I283" s="4" t="s">
        <v>901</v>
      </c>
      <c r="J283" s="4" t="s">
        <v>183</v>
      </c>
      <c r="K283" s="4" t="s">
        <v>183</v>
      </c>
      <c r="L283" s="4" t="s">
        <v>183</v>
      </c>
    </row>
    <row r="284" spans="8:12">
      <c r="H284" s="3" t="s">
        <v>902</v>
      </c>
      <c r="I284" s="4" t="s">
        <v>903</v>
      </c>
      <c r="J284" s="4" t="s">
        <v>183</v>
      </c>
      <c r="K284" s="4" t="s">
        <v>183</v>
      </c>
      <c r="L284" s="4" t="s">
        <v>183</v>
      </c>
    </row>
    <row r="285" spans="8:12">
      <c r="H285" s="3" t="s">
        <v>904</v>
      </c>
      <c r="I285" s="4" t="s">
        <v>905</v>
      </c>
      <c r="J285" s="4" t="s">
        <v>183</v>
      </c>
      <c r="K285" s="4" t="s">
        <v>183</v>
      </c>
      <c r="L285" s="4" t="s">
        <v>183</v>
      </c>
    </row>
    <row r="286" spans="8:12">
      <c r="H286" s="3" t="s">
        <v>906</v>
      </c>
      <c r="I286" s="4" t="s">
        <v>907</v>
      </c>
      <c r="J286" s="4" t="s">
        <v>183</v>
      </c>
      <c r="K286" s="4" t="s">
        <v>183</v>
      </c>
      <c r="L286" s="4" t="s">
        <v>183</v>
      </c>
    </row>
    <row r="287" spans="8:12">
      <c r="H287" s="3" t="s">
        <v>908</v>
      </c>
      <c r="I287" s="4" t="s">
        <v>909</v>
      </c>
      <c r="J287" s="4" t="s">
        <v>183</v>
      </c>
      <c r="K287" s="4" t="s">
        <v>183</v>
      </c>
      <c r="L287" s="4" t="s">
        <v>183</v>
      </c>
    </row>
    <row r="288" spans="8:12">
      <c r="H288" s="3" t="s">
        <v>910</v>
      </c>
      <c r="I288" s="4" t="s">
        <v>911</v>
      </c>
      <c r="J288" s="4" t="s">
        <v>183</v>
      </c>
      <c r="K288" s="4" t="s">
        <v>183</v>
      </c>
      <c r="L288" s="4" t="s">
        <v>183</v>
      </c>
    </row>
    <row r="289" spans="8:12">
      <c r="H289" s="3" t="s">
        <v>912</v>
      </c>
      <c r="I289" s="4" t="s">
        <v>913</v>
      </c>
      <c r="J289" s="4" t="s">
        <v>183</v>
      </c>
      <c r="K289" s="4" t="s">
        <v>183</v>
      </c>
      <c r="L289" s="4" t="s">
        <v>183</v>
      </c>
    </row>
    <row r="290" spans="8:12">
      <c r="H290" s="3" t="s">
        <v>914</v>
      </c>
      <c r="I290" s="4" t="s">
        <v>915</v>
      </c>
      <c r="J290" s="4" t="s">
        <v>183</v>
      </c>
      <c r="K290" s="4" t="s">
        <v>183</v>
      </c>
      <c r="L290" s="4" t="s">
        <v>183</v>
      </c>
    </row>
    <row r="291" spans="8:12">
      <c r="H291" s="3" t="s">
        <v>916</v>
      </c>
      <c r="I291" s="4" t="s">
        <v>917</v>
      </c>
      <c r="J291" s="4" t="s">
        <v>183</v>
      </c>
      <c r="K291" s="4" t="s">
        <v>183</v>
      </c>
      <c r="L291" s="4" t="s">
        <v>183</v>
      </c>
    </row>
    <row r="292" spans="8:12">
      <c r="H292" s="3" t="s">
        <v>918</v>
      </c>
      <c r="I292" s="4" t="s">
        <v>919</v>
      </c>
      <c r="J292" s="4" t="s">
        <v>183</v>
      </c>
      <c r="K292" s="4" t="s">
        <v>183</v>
      </c>
      <c r="L292" s="4" t="s">
        <v>183</v>
      </c>
    </row>
    <row r="293" spans="8:12">
      <c r="H293" s="3" t="s">
        <v>920</v>
      </c>
      <c r="I293" s="4" t="s">
        <v>921</v>
      </c>
      <c r="J293" s="4" t="s">
        <v>183</v>
      </c>
      <c r="K293" s="4" t="s">
        <v>183</v>
      </c>
      <c r="L293" s="4" t="s">
        <v>183</v>
      </c>
    </row>
    <row r="294" spans="8:12">
      <c r="H294" s="3" t="s">
        <v>922</v>
      </c>
      <c r="I294" s="4" t="s">
        <v>923</v>
      </c>
      <c r="J294" s="4" t="s">
        <v>183</v>
      </c>
      <c r="K294" s="4" t="s">
        <v>183</v>
      </c>
      <c r="L294" s="4" t="s">
        <v>183</v>
      </c>
    </row>
    <row r="295" spans="8:12">
      <c r="H295" s="3" t="s">
        <v>924</v>
      </c>
      <c r="I295" s="4" t="s">
        <v>925</v>
      </c>
      <c r="J295" s="4" t="s">
        <v>183</v>
      </c>
      <c r="K295" s="4" t="s">
        <v>183</v>
      </c>
      <c r="L295" s="4" t="s">
        <v>183</v>
      </c>
    </row>
    <row r="296" spans="8:12">
      <c r="H296" s="3" t="s">
        <v>926</v>
      </c>
      <c r="I296" s="4" t="s">
        <v>927</v>
      </c>
      <c r="J296" s="4" t="s">
        <v>183</v>
      </c>
      <c r="K296" s="4" t="s">
        <v>183</v>
      </c>
      <c r="L296" s="4" t="s">
        <v>183</v>
      </c>
    </row>
    <row r="297" spans="8:12">
      <c r="H297" s="3" t="s">
        <v>928</v>
      </c>
      <c r="I297" s="4" t="s">
        <v>929</v>
      </c>
      <c r="J297" s="4" t="s">
        <v>183</v>
      </c>
      <c r="K297" s="4" t="s">
        <v>183</v>
      </c>
      <c r="L297" s="4" t="s">
        <v>183</v>
      </c>
    </row>
    <row r="298" spans="8:12">
      <c r="H298" s="3" t="s">
        <v>930</v>
      </c>
      <c r="I298" s="4" t="s">
        <v>931</v>
      </c>
      <c r="J298" s="4" t="s">
        <v>183</v>
      </c>
      <c r="K298" s="4" t="s">
        <v>183</v>
      </c>
      <c r="L298" s="4" t="s">
        <v>183</v>
      </c>
    </row>
    <row r="299" spans="8:12">
      <c r="H299" s="3" t="s">
        <v>932</v>
      </c>
      <c r="I299" s="4" t="s">
        <v>933</v>
      </c>
      <c r="J299" s="4" t="s">
        <v>183</v>
      </c>
      <c r="K299" s="4" t="s">
        <v>183</v>
      </c>
      <c r="L299" s="4" t="s">
        <v>183</v>
      </c>
    </row>
    <row r="300" spans="8:12">
      <c r="H300" s="3" t="s">
        <v>934</v>
      </c>
      <c r="I300" s="4" t="s">
        <v>935</v>
      </c>
      <c r="J300" s="4" t="s">
        <v>183</v>
      </c>
      <c r="K300" s="4" t="s">
        <v>183</v>
      </c>
      <c r="L300" s="4" t="s">
        <v>183</v>
      </c>
    </row>
    <row r="301" spans="8:12">
      <c r="H301" s="3" t="s">
        <v>936</v>
      </c>
      <c r="I301" s="4" t="s">
        <v>937</v>
      </c>
      <c r="J301" s="4" t="s">
        <v>183</v>
      </c>
      <c r="K301" s="4" t="s">
        <v>183</v>
      </c>
      <c r="L301" s="4" t="s">
        <v>183</v>
      </c>
    </row>
    <row r="302" spans="8:12">
      <c r="H302" s="3" t="s">
        <v>938</v>
      </c>
      <c r="I302" s="4" t="s">
        <v>939</v>
      </c>
      <c r="J302" s="4" t="s">
        <v>183</v>
      </c>
      <c r="K302" s="4" t="s">
        <v>183</v>
      </c>
      <c r="L302" s="4" t="s">
        <v>183</v>
      </c>
    </row>
    <row r="303" spans="8:12">
      <c r="H303" s="3" t="s">
        <v>940</v>
      </c>
      <c r="I303" s="4" t="s">
        <v>941</v>
      </c>
      <c r="J303" s="4" t="s">
        <v>183</v>
      </c>
      <c r="K303" s="4" t="s">
        <v>183</v>
      </c>
      <c r="L303" s="4" t="s">
        <v>183</v>
      </c>
    </row>
    <row r="304" spans="8:12">
      <c r="H304" s="3" t="s">
        <v>942</v>
      </c>
      <c r="I304" s="4" t="s">
        <v>943</v>
      </c>
      <c r="J304" s="4" t="s">
        <v>183</v>
      </c>
      <c r="K304" s="4" t="s">
        <v>183</v>
      </c>
      <c r="L304" s="4" t="s">
        <v>183</v>
      </c>
    </row>
    <row r="305" spans="8:12">
      <c r="H305" s="3" t="s">
        <v>944</v>
      </c>
      <c r="I305" s="4" t="s">
        <v>945</v>
      </c>
      <c r="J305" s="4" t="s">
        <v>183</v>
      </c>
      <c r="K305" s="4" t="s">
        <v>183</v>
      </c>
      <c r="L305" s="4" t="s">
        <v>183</v>
      </c>
    </row>
    <row r="306" spans="8:12">
      <c r="H306" s="3" t="s">
        <v>946</v>
      </c>
      <c r="I306" s="4" t="s">
        <v>947</v>
      </c>
      <c r="J306" s="4" t="s">
        <v>183</v>
      </c>
      <c r="K306" s="4" t="s">
        <v>183</v>
      </c>
      <c r="L306" s="4" t="s">
        <v>183</v>
      </c>
    </row>
    <row r="307" spans="8:12">
      <c r="H307" s="3" t="s">
        <v>948</v>
      </c>
      <c r="I307" s="4" t="s">
        <v>949</v>
      </c>
      <c r="J307" s="4" t="s">
        <v>183</v>
      </c>
      <c r="K307" s="4" t="s">
        <v>183</v>
      </c>
      <c r="L307" s="4" t="s">
        <v>183</v>
      </c>
    </row>
    <row r="308" spans="8:12">
      <c r="H308" s="3" t="s">
        <v>950</v>
      </c>
      <c r="I308" s="4" t="s">
        <v>951</v>
      </c>
      <c r="J308" s="4" t="s">
        <v>183</v>
      </c>
      <c r="K308" s="4" t="s">
        <v>183</v>
      </c>
      <c r="L308" s="4" t="s">
        <v>183</v>
      </c>
    </row>
    <row r="309" spans="8:12">
      <c r="H309" s="3" t="s">
        <v>952</v>
      </c>
      <c r="I309" s="4" t="s">
        <v>953</v>
      </c>
      <c r="J309" s="4" t="s">
        <v>183</v>
      </c>
      <c r="K309" s="4" t="s">
        <v>183</v>
      </c>
      <c r="L309" s="4" t="s">
        <v>183</v>
      </c>
    </row>
    <row r="310" spans="8:12">
      <c r="H310" s="3" t="s">
        <v>954</v>
      </c>
      <c r="I310" s="4" t="s">
        <v>955</v>
      </c>
      <c r="J310" s="4" t="s">
        <v>183</v>
      </c>
      <c r="K310" s="4" t="s">
        <v>183</v>
      </c>
      <c r="L310" s="4" t="s">
        <v>183</v>
      </c>
    </row>
    <row r="311" spans="8:12">
      <c r="H311" s="3" t="s">
        <v>956</v>
      </c>
      <c r="I311" s="4" t="s">
        <v>957</v>
      </c>
      <c r="J311" s="4" t="s">
        <v>183</v>
      </c>
      <c r="K311" s="4" t="s">
        <v>183</v>
      </c>
      <c r="L311" s="4" t="s">
        <v>183</v>
      </c>
    </row>
    <row r="312" spans="8:12">
      <c r="H312" s="3" t="s">
        <v>958</v>
      </c>
      <c r="I312" s="4" t="s">
        <v>959</v>
      </c>
      <c r="J312" s="4" t="s">
        <v>183</v>
      </c>
      <c r="K312" s="4" t="s">
        <v>183</v>
      </c>
      <c r="L312" s="4" t="s">
        <v>183</v>
      </c>
    </row>
    <row r="313" spans="8:12">
      <c r="H313" s="3" t="s">
        <v>960</v>
      </c>
      <c r="I313" s="4" t="s">
        <v>961</v>
      </c>
      <c r="J313" s="4" t="s">
        <v>183</v>
      </c>
      <c r="K313" s="4" t="s">
        <v>183</v>
      </c>
      <c r="L313" s="4" t="s">
        <v>183</v>
      </c>
    </row>
    <row r="314" spans="8:12">
      <c r="H314" s="3" t="s">
        <v>962</v>
      </c>
      <c r="I314" s="4" t="s">
        <v>963</v>
      </c>
      <c r="J314" s="4" t="s">
        <v>183</v>
      </c>
      <c r="K314" s="4" t="s">
        <v>183</v>
      </c>
      <c r="L314" s="4" t="s">
        <v>183</v>
      </c>
    </row>
    <row r="315" spans="8:12">
      <c r="H315" s="3" t="s">
        <v>964</v>
      </c>
      <c r="I315" s="4" t="s">
        <v>965</v>
      </c>
      <c r="J315" s="4" t="s">
        <v>183</v>
      </c>
      <c r="K315" s="4" t="s">
        <v>183</v>
      </c>
      <c r="L315" s="4" t="s">
        <v>183</v>
      </c>
    </row>
    <row r="316" spans="8:12">
      <c r="H316" s="3" t="s">
        <v>966</v>
      </c>
      <c r="I316" s="4" t="s">
        <v>967</v>
      </c>
      <c r="J316" s="4" t="s">
        <v>183</v>
      </c>
      <c r="K316" s="4" t="s">
        <v>183</v>
      </c>
      <c r="L316" s="4" t="s">
        <v>183</v>
      </c>
    </row>
    <row r="317" spans="8:12">
      <c r="H317" s="3" t="s">
        <v>968</v>
      </c>
      <c r="I317" s="4" t="s">
        <v>969</v>
      </c>
      <c r="J317" s="4" t="s">
        <v>183</v>
      </c>
      <c r="K317" s="4" t="s">
        <v>183</v>
      </c>
      <c r="L317" s="4" t="s">
        <v>183</v>
      </c>
    </row>
    <row r="318" spans="8:12">
      <c r="H318" s="3" t="s">
        <v>970</v>
      </c>
      <c r="I318" s="4" t="s">
        <v>971</v>
      </c>
      <c r="J318" s="4" t="s">
        <v>183</v>
      </c>
      <c r="K318" s="4" t="s">
        <v>183</v>
      </c>
      <c r="L318" s="4" t="s">
        <v>183</v>
      </c>
    </row>
    <row r="319" spans="8:12">
      <c r="H319" s="3" t="s">
        <v>972</v>
      </c>
      <c r="I319" s="4" t="s">
        <v>973</v>
      </c>
      <c r="J319" s="4" t="s">
        <v>183</v>
      </c>
      <c r="K319" s="4" t="s">
        <v>183</v>
      </c>
      <c r="L319" s="4" t="s">
        <v>183</v>
      </c>
    </row>
    <row r="320" spans="8:12">
      <c r="H320" s="3" t="s">
        <v>974</v>
      </c>
      <c r="I320" s="4" t="s">
        <v>975</v>
      </c>
      <c r="J320" s="4" t="s">
        <v>183</v>
      </c>
      <c r="K320" s="4" t="s">
        <v>183</v>
      </c>
      <c r="L320" s="4" t="s">
        <v>183</v>
      </c>
    </row>
    <row r="321" spans="8:12">
      <c r="H321" s="3" t="s">
        <v>976</v>
      </c>
      <c r="I321" s="4" t="s">
        <v>977</v>
      </c>
      <c r="J321" s="4" t="s">
        <v>183</v>
      </c>
      <c r="K321" s="4" t="s">
        <v>183</v>
      </c>
      <c r="L321" s="4" t="s">
        <v>183</v>
      </c>
    </row>
    <row r="322" spans="8:12">
      <c r="H322" s="3" t="s">
        <v>978</v>
      </c>
      <c r="I322" s="4" t="s">
        <v>979</v>
      </c>
      <c r="J322" s="4" t="s">
        <v>183</v>
      </c>
      <c r="K322" s="4" t="s">
        <v>183</v>
      </c>
      <c r="L322" s="4" t="s">
        <v>183</v>
      </c>
    </row>
    <row r="323" spans="8:12">
      <c r="H323" s="3" t="s">
        <v>980</v>
      </c>
      <c r="I323" s="4" t="s">
        <v>981</v>
      </c>
      <c r="J323" s="4" t="s">
        <v>183</v>
      </c>
      <c r="K323" s="4" t="s">
        <v>183</v>
      </c>
      <c r="L323" s="4" t="s">
        <v>183</v>
      </c>
    </row>
    <row r="324" spans="8:12">
      <c r="H324" s="3" t="s">
        <v>982</v>
      </c>
      <c r="I324" s="4" t="s">
        <v>983</v>
      </c>
      <c r="J324" s="4" t="s">
        <v>183</v>
      </c>
      <c r="K324" s="4" t="s">
        <v>183</v>
      </c>
      <c r="L324" s="4" t="s">
        <v>183</v>
      </c>
    </row>
    <row r="325" spans="8:12">
      <c r="H325" s="3" t="s">
        <v>984</v>
      </c>
      <c r="I325" s="4" t="s">
        <v>985</v>
      </c>
      <c r="J325" s="4" t="s">
        <v>183</v>
      </c>
      <c r="K325" s="4" t="s">
        <v>183</v>
      </c>
      <c r="L325" s="4" t="s">
        <v>183</v>
      </c>
    </row>
    <row r="326" spans="8:12">
      <c r="H326" s="3" t="s">
        <v>986</v>
      </c>
      <c r="I326" s="4" t="s">
        <v>987</v>
      </c>
      <c r="J326" s="4" t="s">
        <v>183</v>
      </c>
      <c r="K326" s="4" t="s">
        <v>183</v>
      </c>
      <c r="L326" s="4" t="s">
        <v>183</v>
      </c>
    </row>
    <row r="327" spans="8:12">
      <c r="H327" s="3" t="s">
        <v>988</v>
      </c>
      <c r="I327" s="4" t="s">
        <v>989</v>
      </c>
      <c r="J327" s="4" t="s">
        <v>183</v>
      </c>
      <c r="K327" s="4" t="s">
        <v>183</v>
      </c>
      <c r="L327" s="4" t="s">
        <v>183</v>
      </c>
    </row>
    <row r="328" spans="8:12">
      <c r="H328" s="3" t="s">
        <v>990</v>
      </c>
      <c r="I328" s="4" t="s">
        <v>991</v>
      </c>
      <c r="J328" s="4" t="s">
        <v>183</v>
      </c>
      <c r="K328" s="4" t="s">
        <v>183</v>
      </c>
      <c r="L328" s="4" t="s">
        <v>183</v>
      </c>
    </row>
    <row r="329" spans="8:12">
      <c r="H329" s="3" t="s">
        <v>992</v>
      </c>
      <c r="I329" s="4" t="s">
        <v>993</v>
      </c>
      <c r="J329" s="4" t="s">
        <v>183</v>
      </c>
      <c r="K329" s="4" t="s">
        <v>183</v>
      </c>
      <c r="L329" s="4" t="s">
        <v>183</v>
      </c>
    </row>
    <row r="330" spans="8:12">
      <c r="H330" s="3" t="s">
        <v>994</v>
      </c>
      <c r="I330" s="4" t="s">
        <v>995</v>
      </c>
      <c r="J330" s="4" t="s">
        <v>183</v>
      </c>
      <c r="K330" s="4" t="s">
        <v>183</v>
      </c>
      <c r="L330" s="4" t="s">
        <v>183</v>
      </c>
    </row>
    <row r="331" spans="8:12">
      <c r="H331" s="3" t="s">
        <v>996</v>
      </c>
      <c r="I331" s="4" t="s">
        <v>997</v>
      </c>
      <c r="J331" s="4" t="s">
        <v>183</v>
      </c>
      <c r="K331" s="4" t="s">
        <v>183</v>
      </c>
      <c r="L331" s="4" t="s">
        <v>183</v>
      </c>
    </row>
    <row r="332" spans="8:12">
      <c r="H332" s="3" t="s">
        <v>998</v>
      </c>
      <c r="I332" s="4" t="s">
        <v>999</v>
      </c>
      <c r="J332" s="4" t="s">
        <v>183</v>
      </c>
      <c r="K332" s="4" t="s">
        <v>183</v>
      </c>
      <c r="L332" s="4" t="s">
        <v>183</v>
      </c>
    </row>
    <row r="333" spans="8:12">
      <c r="H333" s="3" t="s">
        <v>1000</v>
      </c>
      <c r="I333" s="4" t="s">
        <v>1001</v>
      </c>
      <c r="J333" s="4" t="s">
        <v>183</v>
      </c>
      <c r="K333" s="4" t="s">
        <v>183</v>
      </c>
      <c r="L333" s="4" t="s">
        <v>183</v>
      </c>
    </row>
    <row r="334" spans="8:12">
      <c r="H334" s="3" t="s">
        <v>1002</v>
      </c>
      <c r="I334" s="4" t="s">
        <v>1003</v>
      </c>
      <c r="J334" s="4" t="s">
        <v>183</v>
      </c>
      <c r="K334" s="4" t="s">
        <v>183</v>
      </c>
      <c r="L334" s="4" t="s">
        <v>183</v>
      </c>
    </row>
    <row r="335" spans="8:12">
      <c r="H335" s="3" t="s">
        <v>1004</v>
      </c>
      <c r="I335" s="4" t="s">
        <v>1005</v>
      </c>
      <c r="J335" s="4" t="s">
        <v>183</v>
      </c>
      <c r="K335" s="4" t="s">
        <v>183</v>
      </c>
      <c r="L335" s="4" t="s">
        <v>183</v>
      </c>
    </row>
    <row r="336" spans="8:12">
      <c r="H336" s="3" t="s">
        <v>1006</v>
      </c>
      <c r="I336" s="4" t="s">
        <v>1007</v>
      </c>
      <c r="J336" s="4" t="s">
        <v>183</v>
      </c>
      <c r="K336" s="4" t="s">
        <v>183</v>
      </c>
      <c r="L336" s="4" t="s">
        <v>183</v>
      </c>
    </row>
    <row r="337" spans="8:12">
      <c r="H337" s="3" t="s">
        <v>1008</v>
      </c>
      <c r="I337" s="4" t="s">
        <v>1009</v>
      </c>
      <c r="J337" s="4" t="s">
        <v>183</v>
      </c>
      <c r="K337" s="4" t="s">
        <v>183</v>
      </c>
      <c r="L337" s="4" t="s">
        <v>183</v>
      </c>
    </row>
    <row r="338" spans="8:12">
      <c r="H338" s="3" t="s">
        <v>1010</v>
      </c>
      <c r="I338" s="4" t="s">
        <v>1011</v>
      </c>
      <c r="J338" s="4" t="s">
        <v>183</v>
      </c>
      <c r="K338" s="4" t="s">
        <v>183</v>
      </c>
      <c r="L338" s="4" t="s">
        <v>183</v>
      </c>
    </row>
    <row r="339" spans="8:12">
      <c r="H339" s="3" t="s">
        <v>1012</v>
      </c>
      <c r="I339" s="4" t="s">
        <v>1013</v>
      </c>
      <c r="J339" s="4" t="s">
        <v>183</v>
      </c>
      <c r="K339" s="4" t="s">
        <v>183</v>
      </c>
      <c r="L339" s="4" t="s">
        <v>183</v>
      </c>
    </row>
    <row r="340" spans="8:12">
      <c r="H340" s="3" t="s">
        <v>1014</v>
      </c>
      <c r="I340" s="4" t="s">
        <v>1015</v>
      </c>
      <c r="J340" s="4" t="s">
        <v>183</v>
      </c>
      <c r="K340" s="4" t="s">
        <v>183</v>
      </c>
      <c r="L340" s="4" t="s">
        <v>183</v>
      </c>
    </row>
    <row r="341" spans="8:12">
      <c r="H341" s="3" t="s">
        <v>1016</v>
      </c>
      <c r="I341" s="4" t="s">
        <v>1017</v>
      </c>
      <c r="J341" s="4" t="s">
        <v>183</v>
      </c>
      <c r="K341" s="4" t="s">
        <v>183</v>
      </c>
      <c r="L341" s="4" t="s">
        <v>183</v>
      </c>
    </row>
    <row r="342" spans="8:12">
      <c r="H342" s="3" t="s">
        <v>1018</v>
      </c>
      <c r="I342" s="4" t="s">
        <v>1019</v>
      </c>
      <c r="J342" s="4" t="s">
        <v>183</v>
      </c>
      <c r="K342" s="4" t="s">
        <v>183</v>
      </c>
      <c r="L342" s="4" t="s">
        <v>183</v>
      </c>
    </row>
    <row r="343" spans="8:12">
      <c r="H343" s="3" t="s">
        <v>1020</v>
      </c>
      <c r="I343" s="4" t="s">
        <v>1021</v>
      </c>
      <c r="J343" s="4" t="s">
        <v>183</v>
      </c>
      <c r="K343" s="4" t="s">
        <v>183</v>
      </c>
      <c r="L343" s="4" t="s">
        <v>183</v>
      </c>
    </row>
    <row r="344" spans="8:12">
      <c r="H344" s="3" t="s">
        <v>1022</v>
      </c>
      <c r="I344" s="4" t="s">
        <v>1023</v>
      </c>
      <c r="J344" s="4" t="s">
        <v>183</v>
      </c>
      <c r="K344" s="4" t="s">
        <v>183</v>
      </c>
      <c r="L344" s="4" t="s">
        <v>183</v>
      </c>
    </row>
    <row r="345" spans="8:12">
      <c r="H345" s="3" t="s">
        <v>1024</v>
      </c>
      <c r="I345" s="4" t="s">
        <v>1025</v>
      </c>
      <c r="J345" s="4" t="s">
        <v>183</v>
      </c>
      <c r="K345" s="4" t="s">
        <v>183</v>
      </c>
      <c r="L345" s="4" t="s">
        <v>183</v>
      </c>
    </row>
    <row r="346" spans="8:12">
      <c r="H346" s="3" t="s">
        <v>1026</v>
      </c>
      <c r="I346" s="4" t="s">
        <v>1027</v>
      </c>
      <c r="J346" s="4" t="s">
        <v>183</v>
      </c>
      <c r="K346" s="4" t="s">
        <v>183</v>
      </c>
      <c r="L346" s="4" t="s">
        <v>183</v>
      </c>
    </row>
    <row r="347" spans="8:12">
      <c r="H347" s="3" t="s">
        <v>1028</v>
      </c>
      <c r="I347" s="4" t="s">
        <v>1029</v>
      </c>
      <c r="J347" s="4" t="s">
        <v>183</v>
      </c>
      <c r="K347" s="4" t="s">
        <v>183</v>
      </c>
      <c r="L347" s="4" t="s">
        <v>183</v>
      </c>
    </row>
    <row r="348" spans="8:12">
      <c r="H348" s="3" t="s">
        <v>1030</v>
      </c>
      <c r="I348" s="4" t="s">
        <v>1031</v>
      </c>
      <c r="J348" s="4" t="s">
        <v>183</v>
      </c>
      <c r="K348" s="4" t="s">
        <v>183</v>
      </c>
      <c r="L348" s="4" t="s">
        <v>183</v>
      </c>
    </row>
    <row r="349" spans="8:12">
      <c r="H349" s="3" t="s">
        <v>1032</v>
      </c>
      <c r="I349" s="4" t="s">
        <v>1033</v>
      </c>
      <c r="J349" s="4" t="s">
        <v>183</v>
      </c>
      <c r="K349" s="4" t="s">
        <v>183</v>
      </c>
      <c r="L349" s="4" t="s">
        <v>183</v>
      </c>
    </row>
    <row r="350" spans="8:12">
      <c r="H350" s="3" t="s">
        <v>1034</v>
      </c>
      <c r="I350" s="4" t="s">
        <v>1035</v>
      </c>
      <c r="J350" s="4" t="s">
        <v>183</v>
      </c>
      <c r="K350" s="4" t="s">
        <v>183</v>
      </c>
      <c r="L350" s="4" t="s">
        <v>183</v>
      </c>
    </row>
    <row r="351" spans="8:12">
      <c r="H351" s="3" t="s">
        <v>1036</v>
      </c>
      <c r="I351" s="4" t="s">
        <v>1037</v>
      </c>
      <c r="J351" s="4" t="s">
        <v>183</v>
      </c>
      <c r="K351" s="4" t="s">
        <v>183</v>
      </c>
      <c r="L351" s="4" t="s">
        <v>183</v>
      </c>
    </row>
    <row r="352" spans="8:12">
      <c r="H352" s="3" t="s">
        <v>1038</v>
      </c>
      <c r="I352" s="4" t="s">
        <v>1039</v>
      </c>
      <c r="J352" s="4" t="s">
        <v>183</v>
      </c>
      <c r="K352" s="4" t="s">
        <v>183</v>
      </c>
      <c r="L352" s="4" t="s">
        <v>183</v>
      </c>
    </row>
    <row r="353" spans="8:12">
      <c r="H353" s="3" t="s">
        <v>1040</v>
      </c>
      <c r="I353" s="4" t="s">
        <v>1041</v>
      </c>
      <c r="J353" s="4" t="s">
        <v>183</v>
      </c>
      <c r="K353" s="4" t="s">
        <v>183</v>
      </c>
      <c r="L353" s="4" t="s">
        <v>183</v>
      </c>
    </row>
    <row r="354" spans="8:12">
      <c r="H354" s="3" t="s">
        <v>1042</v>
      </c>
      <c r="I354" s="4" t="s">
        <v>1043</v>
      </c>
      <c r="J354" s="4" t="s">
        <v>183</v>
      </c>
      <c r="K354" s="4" t="s">
        <v>183</v>
      </c>
      <c r="L354" s="4" t="s">
        <v>183</v>
      </c>
    </row>
    <row r="355" spans="8:12">
      <c r="H355" s="3" t="s">
        <v>1044</v>
      </c>
      <c r="I355" s="4" t="s">
        <v>1045</v>
      </c>
      <c r="J355" s="4" t="s">
        <v>183</v>
      </c>
      <c r="K355" s="4" t="s">
        <v>183</v>
      </c>
      <c r="L355" s="4" t="s">
        <v>183</v>
      </c>
    </row>
    <row r="356" spans="8:12">
      <c r="H356" s="3" t="s">
        <v>1046</v>
      </c>
      <c r="I356" s="4" t="s">
        <v>1047</v>
      </c>
      <c r="J356" s="4" t="s">
        <v>183</v>
      </c>
      <c r="K356" s="4" t="s">
        <v>183</v>
      </c>
      <c r="L356" s="4" t="s">
        <v>183</v>
      </c>
    </row>
    <row r="357" spans="8:12">
      <c r="H357" s="3" t="s">
        <v>1048</v>
      </c>
      <c r="I357" s="4" t="s">
        <v>1049</v>
      </c>
      <c r="J357" s="4" t="s">
        <v>183</v>
      </c>
      <c r="K357" s="4" t="s">
        <v>183</v>
      </c>
      <c r="L357" s="4" t="s">
        <v>183</v>
      </c>
    </row>
    <row r="358" spans="8:12">
      <c r="H358" s="3" t="s">
        <v>1050</v>
      </c>
      <c r="I358" s="4" t="s">
        <v>1051</v>
      </c>
      <c r="J358" s="4" t="s">
        <v>183</v>
      </c>
      <c r="K358" s="4" t="s">
        <v>183</v>
      </c>
      <c r="L358" s="4" t="s">
        <v>183</v>
      </c>
    </row>
    <row r="359" spans="8:12">
      <c r="H359" s="3" t="s">
        <v>1052</v>
      </c>
      <c r="I359" s="4" t="s">
        <v>1053</v>
      </c>
      <c r="J359" s="4" t="s">
        <v>183</v>
      </c>
      <c r="K359" s="4" t="s">
        <v>183</v>
      </c>
      <c r="L359" s="4" t="s">
        <v>183</v>
      </c>
    </row>
    <row r="360" spans="8:12">
      <c r="H360" s="3" t="s">
        <v>1054</v>
      </c>
      <c r="I360" s="4" t="s">
        <v>1055</v>
      </c>
      <c r="J360" s="4" t="s">
        <v>183</v>
      </c>
      <c r="K360" s="4" t="s">
        <v>183</v>
      </c>
      <c r="L360" s="4" t="s">
        <v>183</v>
      </c>
    </row>
    <row r="361" spans="8:12">
      <c r="H361" s="3" t="s">
        <v>1056</v>
      </c>
      <c r="I361" s="4" t="s">
        <v>1057</v>
      </c>
      <c r="J361" s="4" t="s">
        <v>183</v>
      </c>
      <c r="K361" s="4" t="s">
        <v>183</v>
      </c>
      <c r="L361" s="4" t="s">
        <v>183</v>
      </c>
    </row>
    <row r="362" spans="8:12">
      <c r="H362" s="3" t="s">
        <v>1058</v>
      </c>
      <c r="I362" s="4" t="s">
        <v>1059</v>
      </c>
      <c r="J362" s="4" t="s">
        <v>183</v>
      </c>
      <c r="K362" s="4" t="s">
        <v>183</v>
      </c>
      <c r="L362" s="4" t="s">
        <v>183</v>
      </c>
    </row>
    <row r="363" spans="8:12">
      <c r="H363" s="3" t="s">
        <v>1060</v>
      </c>
      <c r="I363" s="4" t="s">
        <v>1061</v>
      </c>
      <c r="J363" s="4" t="s">
        <v>183</v>
      </c>
      <c r="K363" s="4" t="s">
        <v>183</v>
      </c>
      <c r="L363" s="4" t="s">
        <v>183</v>
      </c>
    </row>
    <row r="364" spans="8:12">
      <c r="H364" s="3" t="s">
        <v>1062</v>
      </c>
      <c r="I364" s="4" t="s">
        <v>1063</v>
      </c>
      <c r="J364" s="4" t="s">
        <v>183</v>
      </c>
      <c r="K364" s="4" t="s">
        <v>183</v>
      </c>
      <c r="L364" s="4" t="s">
        <v>183</v>
      </c>
    </row>
    <row r="365" spans="8:12">
      <c r="H365" s="3" t="s">
        <v>1064</v>
      </c>
      <c r="I365" s="4" t="s">
        <v>1065</v>
      </c>
      <c r="J365" s="4" t="s">
        <v>183</v>
      </c>
      <c r="K365" s="4" t="s">
        <v>183</v>
      </c>
      <c r="L365" s="4" t="s">
        <v>183</v>
      </c>
    </row>
    <row r="366" spans="8:12">
      <c r="H366" s="3" t="s">
        <v>1066</v>
      </c>
      <c r="I366" s="4" t="s">
        <v>1067</v>
      </c>
      <c r="J366" s="4" t="s">
        <v>183</v>
      </c>
      <c r="K366" s="4" t="s">
        <v>183</v>
      </c>
      <c r="L366" s="4" t="s">
        <v>183</v>
      </c>
    </row>
    <row r="367" spans="8:12">
      <c r="H367" s="3" t="s">
        <v>1068</v>
      </c>
      <c r="I367" s="4" t="s">
        <v>1069</v>
      </c>
      <c r="J367" s="4" t="s">
        <v>183</v>
      </c>
      <c r="K367" s="4" t="s">
        <v>183</v>
      </c>
      <c r="L367" s="4" t="s">
        <v>183</v>
      </c>
    </row>
    <row r="368" spans="8:12">
      <c r="H368" s="3" t="s">
        <v>1070</v>
      </c>
      <c r="I368" s="4" t="s">
        <v>1071</v>
      </c>
      <c r="J368" s="4" t="s">
        <v>183</v>
      </c>
      <c r="K368" s="4" t="s">
        <v>183</v>
      </c>
      <c r="L368" s="4" t="s">
        <v>183</v>
      </c>
    </row>
    <row r="369" spans="8:12">
      <c r="H369" s="3" t="s">
        <v>1072</v>
      </c>
      <c r="I369" s="4" t="s">
        <v>1073</v>
      </c>
      <c r="J369" s="4" t="s">
        <v>183</v>
      </c>
      <c r="K369" s="4" t="s">
        <v>183</v>
      </c>
      <c r="L369" s="4" t="s">
        <v>183</v>
      </c>
    </row>
    <row r="370" spans="8:12">
      <c r="H370" s="3" t="s">
        <v>1074</v>
      </c>
      <c r="I370" s="4" t="s">
        <v>1075</v>
      </c>
      <c r="J370" s="4" t="s">
        <v>183</v>
      </c>
      <c r="K370" s="4" t="s">
        <v>183</v>
      </c>
      <c r="L370" s="4" t="s">
        <v>183</v>
      </c>
    </row>
    <row r="371" spans="8:12">
      <c r="H371" s="3" t="s">
        <v>1076</v>
      </c>
      <c r="I371" s="4" t="s">
        <v>1077</v>
      </c>
      <c r="J371" s="4" t="s">
        <v>183</v>
      </c>
      <c r="K371" s="4" t="s">
        <v>183</v>
      </c>
      <c r="L371" s="4" t="s">
        <v>183</v>
      </c>
    </row>
    <row r="372" spans="8:12">
      <c r="H372" s="3" t="s">
        <v>1078</v>
      </c>
      <c r="I372" s="4" t="s">
        <v>1079</v>
      </c>
      <c r="J372" s="4" t="s">
        <v>183</v>
      </c>
      <c r="K372" s="4" t="s">
        <v>183</v>
      </c>
      <c r="L372" s="4" t="s">
        <v>183</v>
      </c>
    </row>
    <row r="373" spans="8:12">
      <c r="H373" s="3" t="s">
        <v>1080</v>
      </c>
      <c r="I373" s="4" t="s">
        <v>1081</v>
      </c>
      <c r="J373" s="4" t="s">
        <v>183</v>
      </c>
      <c r="K373" s="4" t="s">
        <v>183</v>
      </c>
      <c r="L373" s="4" t="s">
        <v>183</v>
      </c>
    </row>
    <row r="374" spans="8:12">
      <c r="H374" s="3" t="s">
        <v>1082</v>
      </c>
      <c r="I374" s="4" t="s">
        <v>1083</v>
      </c>
      <c r="J374" s="4" t="s">
        <v>183</v>
      </c>
      <c r="K374" s="4" t="s">
        <v>183</v>
      </c>
      <c r="L374" s="4" t="s">
        <v>183</v>
      </c>
    </row>
    <row r="375" spans="8:12">
      <c r="H375" s="3" t="s">
        <v>1084</v>
      </c>
      <c r="I375" s="4" t="s">
        <v>1085</v>
      </c>
      <c r="J375" s="4" t="s">
        <v>183</v>
      </c>
      <c r="K375" s="4" t="s">
        <v>183</v>
      </c>
      <c r="L375" s="4" t="s">
        <v>183</v>
      </c>
    </row>
    <row r="376" spans="8:12">
      <c r="H376" s="3" t="s">
        <v>1086</v>
      </c>
      <c r="I376" s="4" t="s">
        <v>1087</v>
      </c>
      <c r="J376" s="4" t="s">
        <v>183</v>
      </c>
      <c r="K376" s="4" t="s">
        <v>183</v>
      </c>
      <c r="L376" s="4" t="s">
        <v>183</v>
      </c>
    </row>
    <row r="377" spans="8:12">
      <c r="H377" s="3" t="s">
        <v>1088</v>
      </c>
      <c r="I377" s="4" t="s">
        <v>1089</v>
      </c>
      <c r="J377" s="4" t="s">
        <v>183</v>
      </c>
      <c r="K377" s="4" t="s">
        <v>183</v>
      </c>
      <c r="L377" s="4" t="s">
        <v>183</v>
      </c>
    </row>
    <row r="378" spans="8:12">
      <c r="H378" s="3" t="s">
        <v>1090</v>
      </c>
      <c r="I378" s="4" t="s">
        <v>1091</v>
      </c>
      <c r="J378" s="4" t="s">
        <v>183</v>
      </c>
      <c r="K378" s="4" t="s">
        <v>183</v>
      </c>
      <c r="L378" s="4" t="s">
        <v>183</v>
      </c>
    </row>
    <row r="379" spans="8:12">
      <c r="H379" s="3" t="s">
        <v>1092</v>
      </c>
      <c r="I379" s="4" t="s">
        <v>1093</v>
      </c>
      <c r="J379" s="4" t="s">
        <v>183</v>
      </c>
      <c r="K379" s="4" t="s">
        <v>183</v>
      </c>
      <c r="L379" s="4" t="s">
        <v>183</v>
      </c>
    </row>
    <row r="380" spans="8:12">
      <c r="H380" s="3" t="s">
        <v>1094</v>
      </c>
      <c r="I380" s="4" t="s">
        <v>1095</v>
      </c>
      <c r="J380" s="4" t="s">
        <v>183</v>
      </c>
      <c r="K380" s="4" t="s">
        <v>183</v>
      </c>
      <c r="L380" s="4" t="s">
        <v>183</v>
      </c>
    </row>
    <row r="381" spans="8:12">
      <c r="H381" s="3" t="s">
        <v>1096</v>
      </c>
      <c r="I381" s="4" t="s">
        <v>1097</v>
      </c>
      <c r="J381" s="4" t="s">
        <v>183</v>
      </c>
      <c r="K381" s="4" t="s">
        <v>183</v>
      </c>
      <c r="L381" s="4" t="s">
        <v>183</v>
      </c>
    </row>
    <row r="382" spans="8:12">
      <c r="H382" s="3" t="s">
        <v>1098</v>
      </c>
      <c r="I382" s="4" t="s">
        <v>1099</v>
      </c>
      <c r="J382" s="4" t="s">
        <v>183</v>
      </c>
      <c r="K382" s="4" t="s">
        <v>183</v>
      </c>
      <c r="L382" s="4" t="s">
        <v>183</v>
      </c>
    </row>
    <row r="383" spans="8:12">
      <c r="H383" s="3" t="s">
        <v>1100</v>
      </c>
      <c r="I383" s="4" t="s">
        <v>1101</v>
      </c>
      <c r="J383" s="4" t="s">
        <v>183</v>
      </c>
      <c r="K383" s="4" t="s">
        <v>183</v>
      </c>
      <c r="L383" s="4" t="s">
        <v>183</v>
      </c>
    </row>
    <row r="384" spans="8:12">
      <c r="H384" s="3" t="s">
        <v>1102</v>
      </c>
      <c r="I384" s="4" t="s">
        <v>1103</v>
      </c>
      <c r="J384" s="4" t="s">
        <v>183</v>
      </c>
      <c r="K384" s="4" t="s">
        <v>183</v>
      </c>
      <c r="L384" s="4" t="s">
        <v>183</v>
      </c>
    </row>
    <row r="385" spans="8:12">
      <c r="H385" s="3" t="s">
        <v>1104</v>
      </c>
      <c r="I385" s="4" t="s">
        <v>1105</v>
      </c>
      <c r="J385" s="4" t="s">
        <v>183</v>
      </c>
      <c r="K385" s="4" t="s">
        <v>183</v>
      </c>
      <c r="L385" s="4" t="s">
        <v>183</v>
      </c>
    </row>
    <row r="386" spans="8:12">
      <c r="H386" s="3" t="s">
        <v>1106</v>
      </c>
      <c r="I386" s="4" t="s">
        <v>1107</v>
      </c>
      <c r="J386" s="4" t="s">
        <v>183</v>
      </c>
      <c r="K386" s="4" t="s">
        <v>183</v>
      </c>
      <c r="L386" s="4" t="s">
        <v>183</v>
      </c>
    </row>
    <row r="387" spans="8:12">
      <c r="H387" s="3" t="s">
        <v>1108</v>
      </c>
      <c r="I387" s="4" t="s">
        <v>1109</v>
      </c>
      <c r="J387" s="4" t="s">
        <v>183</v>
      </c>
      <c r="K387" s="4" t="s">
        <v>183</v>
      </c>
      <c r="L387" s="4" t="s">
        <v>183</v>
      </c>
    </row>
    <row r="388" spans="8:12">
      <c r="H388" s="3" t="s">
        <v>1110</v>
      </c>
      <c r="I388" s="4" t="s">
        <v>1111</v>
      </c>
      <c r="J388" s="4" t="s">
        <v>183</v>
      </c>
      <c r="K388" s="4" t="s">
        <v>183</v>
      </c>
      <c r="L388" s="4" t="s">
        <v>183</v>
      </c>
    </row>
    <row r="389" spans="8:12">
      <c r="H389" s="3" t="s">
        <v>1112</v>
      </c>
      <c r="I389" s="4" t="s">
        <v>1113</v>
      </c>
      <c r="J389" s="4" t="s">
        <v>183</v>
      </c>
      <c r="K389" s="4" t="s">
        <v>183</v>
      </c>
      <c r="L389" s="4" t="s">
        <v>183</v>
      </c>
    </row>
    <row r="390" spans="8:12">
      <c r="H390" s="3" t="s">
        <v>1114</v>
      </c>
      <c r="I390" s="4" t="s">
        <v>1115</v>
      </c>
      <c r="J390" s="4" t="s">
        <v>183</v>
      </c>
      <c r="K390" s="4" t="s">
        <v>183</v>
      </c>
      <c r="L390" s="4" t="s">
        <v>183</v>
      </c>
    </row>
    <row r="391" spans="8:12">
      <c r="H391" s="3" t="s">
        <v>1116</v>
      </c>
      <c r="I391" s="4" t="s">
        <v>1117</v>
      </c>
      <c r="J391" s="4" t="s">
        <v>183</v>
      </c>
      <c r="K391" s="4" t="s">
        <v>183</v>
      </c>
      <c r="L391" s="4" t="s">
        <v>183</v>
      </c>
    </row>
    <row r="392" spans="8:12">
      <c r="H392" s="3" t="s">
        <v>1118</v>
      </c>
      <c r="I392" s="4" t="s">
        <v>1119</v>
      </c>
      <c r="J392" s="4" t="s">
        <v>183</v>
      </c>
      <c r="K392" s="4" t="s">
        <v>183</v>
      </c>
      <c r="L392" s="4" t="s">
        <v>183</v>
      </c>
    </row>
    <row r="393" spans="8:12">
      <c r="H393" s="3" t="s">
        <v>1120</v>
      </c>
      <c r="I393" s="4" t="s">
        <v>1121</v>
      </c>
      <c r="J393" s="4" t="s">
        <v>183</v>
      </c>
      <c r="K393" s="4" t="s">
        <v>183</v>
      </c>
      <c r="L393" s="4" t="s">
        <v>183</v>
      </c>
    </row>
    <row r="394" spans="8:12">
      <c r="H394" s="3" t="s">
        <v>1122</v>
      </c>
      <c r="I394" s="4" t="s">
        <v>1123</v>
      </c>
      <c r="J394" s="4" t="s">
        <v>183</v>
      </c>
      <c r="K394" s="4" t="s">
        <v>183</v>
      </c>
      <c r="L394" s="4" t="s">
        <v>183</v>
      </c>
    </row>
    <row r="395" spans="8:12">
      <c r="H395" s="3" t="s">
        <v>1124</v>
      </c>
      <c r="I395" s="4" t="s">
        <v>1125</v>
      </c>
      <c r="J395" s="4" t="s">
        <v>183</v>
      </c>
      <c r="K395" s="4" t="s">
        <v>183</v>
      </c>
      <c r="L395" s="4" t="s">
        <v>183</v>
      </c>
    </row>
    <row r="396" spans="8:12">
      <c r="H396" s="3" t="s">
        <v>1126</v>
      </c>
      <c r="I396" s="4" t="s">
        <v>1127</v>
      </c>
      <c r="J396" s="4" t="s">
        <v>183</v>
      </c>
      <c r="K396" s="4" t="s">
        <v>183</v>
      </c>
      <c r="L396" s="4" t="s">
        <v>183</v>
      </c>
    </row>
    <row r="397" spans="8:12">
      <c r="H397" s="3" t="s">
        <v>1128</v>
      </c>
      <c r="I397" s="4" t="s">
        <v>1129</v>
      </c>
      <c r="J397" s="4" t="s">
        <v>183</v>
      </c>
      <c r="K397" s="4" t="s">
        <v>183</v>
      </c>
      <c r="L397" s="4" t="s">
        <v>183</v>
      </c>
    </row>
    <row r="398" spans="8:12">
      <c r="H398" s="3" t="s">
        <v>1130</v>
      </c>
      <c r="I398" s="4" t="s">
        <v>1131</v>
      </c>
      <c r="J398" s="4" t="s">
        <v>183</v>
      </c>
      <c r="K398" s="4" t="s">
        <v>183</v>
      </c>
      <c r="L398" s="4" t="s">
        <v>183</v>
      </c>
    </row>
    <row r="399" spans="8:12">
      <c r="H399" s="3" t="s">
        <v>1132</v>
      </c>
      <c r="I399" s="4" t="s">
        <v>1133</v>
      </c>
      <c r="J399" s="4" t="s">
        <v>183</v>
      </c>
      <c r="K399" s="4" t="s">
        <v>183</v>
      </c>
      <c r="L399" s="4" t="s">
        <v>183</v>
      </c>
    </row>
    <row r="400" spans="8:12">
      <c r="H400" s="3" t="s">
        <v>1134</v>
      </c>
      <c r="I400" s="4" t="s">
        <v>1135</v>
      </c>
      <c r="J400" s="4" t="s">
        <v>183</v>
      </c>
      <c r="K400" s="4" t="s">
        <v>183</v>
      </c>
      <c r="L400" s="4" t="s">
        <v>183</v>
      </c>
    </row>
    <row r="401" spans="8:12">
      <c r="H401" s="3" t="s">
        <v>1136</v>
      </c>
      <c r="I401" s="4" t="s">
        <v>1137</v>
      </c>
      <c r="J401" s="4" t="s">
        <v>183</v>
      </c>
      <c r="K401" s="4" t="s">
        <v>183</v>
      </c>
      <c r="L401" s="4" t="s">
        <v>183</v>
      </c>
    </row>
    <row r="402" spans="8:12">
      <c r="H402" s="3" t="s">
        <v>1138</v>
      </c>
      <c r="I402" s="4" t="s">
        <v>1139</v>
      </c>
      <c r="J402" s="4" t="s">
        <v>183</v>
      </c>
      <c r="K402" s="4" t="s">
        <v>183</v>
      </c>
      <c r="L402" s="4" t="s">
        <v>183</v>
      </c>
    </row>
    <row r="403" spans="8:12">
      <c r="H403" s="3" t="s">
        <v>1140</v>
      </c>
      <c r="I403" s="4" t="s">
        <v>1141</v>
      </c>
      <c r="J403" s="4" t="s">
        <v>183</v>
      </c>
      <c r="K403" s="4" t="s">
        <v>183</v>
      </c>
      <c r="L403" s="4" t="s">
        <v>183</v>
      </c>
    </row>
    <row r="404" spans="8:12">
      <c r="H404" s="3" t="s">
        <v>1142</v>
      </c>
      <c r="I404" s="4" t="s">
        <v>1143</v>
      </c>
      <c r="J404" s="4" t="s">
        <v>183</v>
      </c>
      <c r="K404" s="4" t="s">
        <v>183</v>
      </c>
      <c r="L404" s="4" t="s">
        <v>183</v>
      </c>
    </row>
    <row r="405" spans="8:12">
      <c r="H405" s="3" t="s">
        <v>1144</v>
      </c>
      <c r="I405" s="4" t="s">
        <v>1145</v>
      </c>
      <c r="J405" s="4" t="s">
        <v>183</v>
      </c>
      <c r="K405" s="4" t="s">
        <v>183</v>
      </c>
      <c r="L405" s="4" t="s">
        <v>183</v>
      </c>
    </row>
    <row r="406" spans="8:12">
      <c r="H406" s="3" t="s">
        <v>1146</v>
      </c>
      <c r="I406" s="4" t="s">
        <v>1147</v>
      </c>
      <c r="J406" s="4" t="s">
        <v>183</v>
      </c>
      <c r="K406" s="4" t="s">
        <v>183</v>
      </c>
      <c r="L406" s="4" t="s">
        <v>183</v>
      </c>
    </row>
    <row r="407" spans="8:12">
      <c r="H407" s="3" t="s">
        <v>1148</v>
      </c>
      <c r="I407" s="4" t="s">
        <v>1149</v>
      </c>
      <c r="J407" s="4" t="s">
        <v>183</v>
      </c>
      <c r="K407" s="4" t="s">
        <v>183</v>
      </c>
      <c r="L407" s="4" t="s">
        <v>183</v>
      </c>
    </row>
    <row r="408" spans="8:12">
      <c r="H408" s="3" t="s">
        <v>1150</v>
      </c>
      <c r="I408" s="4" t="s">
        <v>1151</v>
      </c>
      <c r="J408" s="4" t="s">
        <v>183</v>
      </c>
      <c r="K408" s="4" t="s">
        <v>183</v>
      </c>
      <c r="L408" s="4" t="s">
        <v>183</v>
      </c>
    </row>
    <row r="409" spans="8:12">
      <c r="H409" s="3" t="s">
        <v>1152</v>
      </c>
      <c r="I409" s="4" t="s">
        <v>1153</v>
      </c>
      <c r="J409" s="4" t="s">
        <v>183</v>
      </c>
      <c r="K409" s="4" t="s">
        <v>183</v>
      </c>
      <c r="L409" s="4" t="s">
        <v>183</v>
      </c>
    </row>
    <row r="410" spans="8:12">
      <c r="H410" s="3" t="s">
        <v>1154</v>
      </c>
      <c r="I410" s="4" t="s">
        <v>1155</v>
      </c>
      <c r="J410" s="4" t="s">
        <v>183</v>
      </c>
      <c r="K410" s="4" t="s">
        <v>183</v>
      </c>
      <c r="L410" s="4" t="s">
        <v>183</v>
      </c>
    </row>
    <row r="411" spans="8:12">
      <c r="H411" s="3" t="s">
        <v>1156</v>
      </c>
      <c r="I411" s="4" t="s">
        <v>1157</v>
      </c>
      <c r="J411" s="4" t="s">
        <v>183</v>
      </c>
      <c r="K411" s="4" t="s">
        <v>183</v>
      </c>
      <c r="L411" s="4" t="s">
        <v>183</v>
      </c>
    </row>
    <row r="412" spans="8:12">
      <c r="H412" s="3" t="s">
        <v>1158</v>
      </c>
      <c r="I412" s="4" t="s">
        <v>1159</v>
      </c>
      <c r="J412" s="4" t="s">
        <v>183</v>
      </c>
      <c r="K412" s="4" t="s">
        <v>183</v>
      </c>
      <c r="L412" s="4" t="s">
        <v>183</v>
      </c>
    </row>
    <row r="413" spans="8:12">
      <c r="H413" s="3" t="s">
        <v>1160</v>
      </c>
      <c r="I413" s="4" t="s">
        <v>1161</v>
      </c>
      <c r="J413" s="4" t="s">
        <v>183</v>
      </c>
      <c r="K413" s="4" t="s">
        <v>183</v>
      </c>
      <c r="L413" s="4" t="s">
        <v>183</v>
      </c>
    </row>
    <row r="414" spans="8:12">
      <c r="H414" s="3" t="s">
        <v>1162</v>
      </c>
      <c r="I414" s="4" t="s">
        <v>1163</v>
      </c>
      <c r="J414" s="4" t="s">
        <v>183</v>
      </c>
      <c r="K414" s="4" t="s">
        <v>183</v>
      </c>
      <c r="L414" s="4" t="s">
        <v>183</v>
      </c>
    </row>
    <row r="415" spans="8:12">
      <c r="H415" s="3" t="s">
        <v>1164</v>
      </c>
      <c r="I415" s="4" t="s">
        <v>1165</v>
      </c>
      <c r="J415" s="4" t="s">
        <v>183</v>
      </c>
      <c r="K415" s="4" t="s">
        <v>183</v>
      </c>
      <c r="L415" s="4" t="s">
        <v>183</v>
      </c>
    </row>
    <row r="416" spans="8:12">
      <c r="H416" s="3" t="s">
        <v>1166</v>
      </c>
      <c r="I416" s="4" t="s">
        <v>1167</v>
      </c>
      <c r="J416" s="4" t="s">
        <v>183</v>
      </c>
      <c r="K416" s="4" t="s">
        <v>183</v>
      </c>
      <c r="L416" s="4" t="s">
        <v>183</v>
      </c>
    </row>
    <row r="417" spans="8:12">
      <c r="H417" s="3" t="s">
        <v>1168</v>
      </c>
      <c r="I417" s="4" t="s">
        <v>1169</v>
      </c>
      <c r="J417" s="4" t="s">
        <v>183</v>
      </c>
      <c r="K417" s="4" t="s">
        <v>183</v>
      </c>
      <c r="L417" s="4" t="s">
        <v>183</v>
      </c>
    </row>
    <row r="418" spans="8:12">
      <c r="H418" s="3" t="s">
        <v>1170</v>
      </c>
      <c r="I418" s="4" t="s">
        <v>1171</v>
      </c>
      <c r="J418" s="4" t="s">
        <v>183</v>
      </c>
      <c r="K418" s="4" t="s">
        <v>183</v>
      </c>
      <c r="L418" s="4" t="s">
        <v>183</v>
      </c>
    </row>
    <row r="419" spans="8:12">
      <c r="H419" s="3" t="s">
        <v>1172</v>
      </c>
      <c r="I419" s="4" t="s">
        <v>1173</v>
      </c>
      <c r="J419" s="4" t="s">
        <v>183</v>
      </c>
      <c r="K419" s="4" t="s">
        <v>183</v>
      </c>
      <c r="L419" s="4" t="s">
        <v>183</v>
      </c>
    </row>
    <row r="420" spans="8:12">
      <c r="H420" s="3" t="s">
        <v>1174</v>
      </c>
      <c r="I420" s="4" t="s">
        <v>1175</v>
      </c>
      <c r="J420" s="4" t="s">
        <v>183</v>
      </c>
      <c r="K420" s="4" t="s">
        <v>183</v>
      </c>
      <c r="L420" s="4" t="s">
        <v>183</v>
      </c>
    </row>
    <row r="421" spans="8:12">
      <c r="H421" s="3" t="s">
        <v>1176</v>
      </c>
      <c r="I421" s="4" t="s">
        <v>1177</v>
      </c>
      <c r="J421" s="4" t="s">
        <v>183</v>
      </c>
      <c r="K421" s="4" t="s">
        <v>183</v>
      </c>
      <c r="L421" s="4" t="s">
        <v>183</v>
      </c>
    </row>
    <row r="422" spans="8:12">
      <c r="H422" s="3" t="s">
        <v>1178</v>
      </c>
      <c r="I422" s="4" t="s">
        <v>1179</v>
      </c>
      <c r="J422" s="4" t="s">
        <v>183</v>
      </c>
      <c r="K422" s="4" t="s">
        <v>183</v>
      </c>
      <c r="L422" s="4" t="s">
        <v>183</v>
      </c>
    </row>
    <row r="423" spans="8:12">
      <c r="H423" s="3" t="s">
        <v>1180</v>
      </c>
      <c r="I423" s="4" t="s">
        <v>1181</v>
      </c>
      <c r="J423" s="4" t="s">
        <v>183</v>
      </c>
      <c r="K423" s="4" t="s">
        <v>183</v>
      </c>
      <c r="L423" s="4" t="s">
        <v>183</v>
      </c>
    </row>
    <row r="424" spans="8:12">
      <c r="H424" s="3" t="s">
        <v>1182</v>
      </c>
      <c r="I424" s="4" t="s">
        <v>1183</v>
      </c>
      <c r="J424" s="4" t="s">
        <v>183</v>
      </c>
      <c r="K424" s="4" t="s">
        <v>183</v>
      </c>
      <c r="L424" s="4" t="s">
        <v>183</v>
      </c>
    </row>
    <row r="425" spans="8:12">
      <c r="H425" s="3" t="s">
        <v>1184</v>
      </c>
      <c r="I425" s="4" t="s">
        <v>1185</v>
      </c>
      <c r="J425" s="4" t="s">
        <v>183</v>
      </c>
      <c r="K425" s="4" t="s">
        <v>183</v>
      </c>
      <c r="L425" s="4" t="s">
        <v>183</v>
      </c>
    </row>
    <row r="426" spans="8:12">
      <c r="H426" s="3" t="s">
        <v>1186</v>
      </c>
      <c r="I426" s="4" t="s">
        <v>1187</v>
      </c>
      <c r="J426" s="4" t="s">
        <v>183</v>
      </c>
      <c r="K426" s="4" t="s">
        <v>183</v>
      </c>
      <c r="L426" s="4" t="s">
        <v>183</v>
      </c>
    </row>
    <row r="427" spans="8:12">
      <c r="H427" s="3" t="s">
        <v>1188</v>
      </c>
      <c r="I427" s="4" t="s">
        <v>1189</v>
      </c>
      <c r="J427" s="4" t="s">
        <v>183</v>
      </c>
      <c r="K427" s="4" t="s">
        <v>183</v>
      </c>
      <c r="L427" s="4" t="s">
        <v>183</v>
      </c>
    </row>
    <row r="428" spans="8:12">
      <c r="H428" s="3" t="s">
        <v>1190</v>
      </c>
      <c r="I428" s="4" t="s">
        <v>1191</v>
      </c>
      <c r="J428" s="4" t="s">
        <v>183</v>
      </c>
      <c r="K428" s="4" t="s">
        <v>183</v>
      </c>
      <c r="L428" s="4" t="s">
        <v>183</v>
      </c>
    </row>
    <row r="429" spans="8:12">
      <c r="H429" s="3" t="s">
        <v>1192</v>
      </c>
      <c r="I429" s="4" t="s">
        <v>1193</v>
      </c>
      <c r="J429" s="4" t="s">
        <v>183</v>
      </c>
      <c r="K429" s="4" t="s">
        <v>183</v>
      </c>
      <c r="L429" s="4" t="s">
        <v>183</v>
      </c>
    </row>
    <row r="430" spans="8:12">
      <c r="H430" s="3" t="s">
        <v>1194</v>
      </c>
      <c r="I430" s="4" t="s">
        <v>1195</v>
      </c>
      <c r="J430" s="4" t="s">
        <v>183</v>
      </c>
      <c r="K430" s="4" t="s">
        <v>183</v>
      </c>
      <c r="L430" s="4" t="s">
        <v>183</v>
      </c>
    </row>
    <row r="431" spans="8:12">
      <c r="H431" s="3" t="s">
        <v>1196</v>
      </c>
      <c r="I431" s="4" t="s">
        <v>1197</v>
      </c>
      <c r="J431" s="4" t="s">
        <v>183</v>
      </c>
      <c r="K431" s="4" t="s">
        <v>183</v>
      </c>
      <c r="L431" s="4" t="s">
        <v>183</v>
      </c>
    </row>
    <row r="432" spans="8:12">
      <c r="H432" s="3" t="s">
        <v>1198</v>
      </c>
      <c r="I432" s="4" t="s">
        <v>1199</v>
      </c>
      <c r="J432" s="4" t="s">
        <v>183</v>
      </c>
      <c r="K432" s="4" t="s">
        <v>183</v>
      </c>
      <c r="L432" s="4" t="s">
        <v>183</v>
      </c>
    </row>
    <row r="433" spans="8:12">
      <c r="H433" s="3" t="s">
        <v>1200</v>
      </c>
      <c r="I433" s="4" t="s">
        <v>1201</v>
      </c>
      <c r="J433" s="4" t="s">
        <v>183</v>
      </c>
      <c r="K433" s="4" t="s">
        <v>183</v>
      </c>
      <c r="L433" s="4" t="s">
        <v>183</v>
      </c>
    </row>
    <row r="434" spans="8:12">
      <c r="H434" s="3" t="s">
        <v>1202</v>
      </c>
      <c r="I434" s="4" t="s">
        <v>1203</v>
      </c>
      <c r="J434" s="4" t="s">
        <v>183</v>
      </c>
      <c r="K434" s="4" t="s">
        <v>183</v>
      </c>
      <c r="L434" s="4" t="s">
        <v>183</v>
      </c>
    </row>
    <row r="435" spans="8:12">
      <c r="H435" s="3" t="s">
        <v>1204</v>
      </c>
      <c r="I435" s="4" t="s">
        <v>1205</v>
      </c>
      <c r="J435" s="4" t="s">
        <v>183</v>
      </c>
      <c r="K435" s="4" t="s">
        <v>183</v>
      </c>
      <c r="L435" s="4" t="s">
        <v>183</v>
      </c>
    </row>
    <row r="436" spans="8:12">
      <c r="H436" s="3" t="s">
        <v>1206</v>
      </c>
      <c r="I436" s="4" t="s">
        <v>1207</v>
      </c>
      <c r="J436" s="4" t="s">
        <v>183</v>
      </c>
      <c r="K436" s="4" t="s">
        <v>183</v>
      </c>
      <c r="L436" s="4" t="s">
        <v>183</v>
      </c>
    </row>
    <row r="437" spans="8:12">
      <c r="H437" s="3" t="s">
        <v>1208</v>
      </c>
      <c r="I437" s="4" t="s">
        <v>1209</v>
      </c>
      <c r="J437" s="4" t="s">
        <v>183</v>
      </c>
      <c r="K437" s="4" t="s">
        <v>183</v>
      </c>
      <c r="L437" s="4" t="s">
        <v>183</v>
      </c>
    </row>
    <row r="438" spans="8:12">
      <c r="H438" s="3" t="s">
        <v>1210</v>
      </c>
      <c r="I438" s="4" t="s">
        <v>1211</v>
      </c>
      <c r="J438" s="4" t="s">
        <v>183</v>
      </c>
      <c r="K438" s="4" t="s">
        <v>183</v>
      </c>
      <c r="L438" s="4" t="s">
        <v>183</v>
      </c>
    </row>
    <row r="439" spans="8:12">
      <c r="H439" s="3" t="s">
        <v>1212</v>
      </c>
      <c r="I439" s="4" t="s">
        <v>1213</v>
      </c>
      <c r="J439" s="4" t="s">
        <v>183</v>
      </c>
      <c r="K439" s="4" t="s">
        <v>183</v>
      </c>
      <c r="L439" s="4" t="s">
        <v>183</v>
      </c>
    </row>
    <row r="440" spans="8:12">
      <c r="H440" s="3" t="s">
        <v>1214</v>
      </c>
      <c r="I440" s="4" t="s">
        <v>1215</v>
      </c>
      <c r="J440" s="4" t="s">
        <v>183</v>
      </c>
      <c r="K440" s="4" t="s">
        <v>183</v>
      </c>
      <c r="L440" s="4" t="s">
        <v>183</v>
      </c>
    </row>
    <row r="441" spans="8:12">
      <c r="H441" s="3" t="s">
        <v>1216</v>
      </c>
      <c r="I441" s="4" t="s">
        <v>1217</v>
      </c>
      <c r="J441" s="4" t="s">
        <v>183</v>
      </c>
      <c r="K441" s="4" t="s">
        <v>183</v>
      </c>
      <c r="L441" s="4" t="s">
        <v>183</v>
      </c>
    </row>
    <row r="442" spans="8:12">
      <c r="H442" s="3" t="s">
        <v>1218</v>
      </c>
      <c r="I442" s="4" t="s">
        <v>1219</v>
      </c>
      <c r="J442" s="4" t="s">
        <v>183</v>
      </c>
      <c r="K442" s="4" t="s">
        <v>183</v>
      </c>
      <c r="L442" s="4" t="s">
        <v>183</v>
      </c>
    </row>
    <row r="443" spans="8:12">
      <c r="H443" s="3" t="s">
        <v>1220</v>
      </c>
      <c r="I443" s="4" t="s">
        <v>1221</v>
      </c>
      <c r="J443" s="4" t="s">
        <v>183</v>
      </c>
      <c r="K443" s="4" t="s">
        <v>183</v>
      </c>
      <c r="L443" s="4" t="s">
        <v>183</v>
      </c>
    </row>
    <row r="444" spans="8:12">
      <c r="H444" s="3" t="s">
        <v>1222</v>
      </c>
      <c r="I444" s="4" t="s">
        <v>1223</v>
      </c>
      <c r="J444" s="4" t="s">
        <v>183</v>
      </c>
      <c r="K444" s="4" t="s">
        <v>183</v>
      </c>
      <c r="L444" s="4" t="s">
        <v>183</v>
      </c>
    </row>
    <row r="445" spans="8:12">
      <c r="H445" s="3" t="s">
        <v>1224</v>
      </c>
      <c r="I445" s="4" t="s">
        <v>1225</v>
      </c>
      <c r="J445" s="4" t="s">
        <v>183</v>
      </c>
      <c r="K445" s="4" t="s">
        <v>183</v>
      </c>
      <c r="L445" s="4" t="s">
        <v>183</v>
      </c>
    </row>
    <row r="446" spans="8:12">
      <c r="H446" s="3" t="s">
        <v>1226</v>
      </c>
      <c r="I446" s="4" t="s">
        <v>1227</v>
      </c>
      <c r="J446" s="4" t="s">
        <v>183</v>
      </c>
      <c r="K446" s="4" t="s">
        <v>183</v>
      </c>
      <c r="L446" s="4" t="s">
        <v>183</v>
      </c>
    </row>
    <row r="447" spans="8:12">
      <c r="H447" s="3" t="s">
        <v>1228</v>
      </c>
      <c r="I447" s="4" t="s">
        <v>1229</v>
      </c>
      <c r="J447" s="4" t="s">
        <v>183</v>
      </c>
      <c r="K447" s="4" t="s">
        <v>183</v>
      </c>
      <c r="L447" s="4" t="s">
        <v>183</v>
      </c>
    </row>
    <row r="448" spans="8:12">
      <c r="H448" s="3" t="s">
        <v>1230</v>
      </c>
      <c r="I448" s="4" t="s">
        <v>1231</v>
      </c>
      <c r="J448" s="4" t="s">
        <v>183</v>
      </c>
      <c r="K448" s="4" t="s">
        <v>183</v>
      </c>
      <c r="L448" s="4" t="s">
        <v>183</v>
      </c>
    </row>
    <row r="449" spans="8:12">
      <c r="H449" s="3" t="s">
        <v>1232</v>
      </c>
      <c r="I449" s="4" t="s">
        <v>1233</v>
      </c>
      <c r="J449" s="4" t="s">
        <v>183</v>
      </c>
      <c r="K449" s="4" t="s">
        <v>183</v>
      </c>
      <c r="L449" s="4" t="s">
        <v>183</v>
      </c>
    </row>
    <row r="450" spans="8:12">
      <c r="H450" s="3" t="s">
        <v>1234</v>
      </c>
      <c r="I450" s="4" t="s">
        <v>1235</v>
      </c>
      <c r="J450" s="4" t="s">
        <v>183</v>
      </c>
      <c r="K450" s="4" t="s">
        <v>183</v>
      </c>
      <c r="L450" s="4" t="s">
        <v>183</v>
      </c>
    </row>
    <row r="451" spans="8:12">
      <c r="H451" s="3" t="s">
        <v>1236</v>
      </c>
      <c r="I451" s="4" t="s">
        <v>1237</v>
      </c>
      <c r="J451" s="4" t="s">
        <v>183</v>
      </c>
      <c r="K451" s="4" t="s">
        <v>183</v>
      </c>
      <c r="L451" s="4" t="s">
        <v>183</v>
      </c>
    </row>
    <row r="452" spans="8:12">
      <c r="H452" s="3" t="s">
        <v>1238</v>
      </c>
      <c r="I452" s="4" t="s">
        <v>1239</v>
      </c>
      <c r="J452" s="4" t="s">
        <v>183</v>
      </c>
      <c r="K452" s="4" t="s">
        <v>183</v>
      </c>
      <c r="L452" s="4" t="s">
        <v>183</v>
      </c>
    </row>
    <row r="453" spans="8:12">
      <c r="H453" s="3" t="s">
        <v>1240</v>
      </c>
      <c r="I453" s="4" t="s">
        <v>1241</v>
      </c>
      <c r="J453" s="4" t="s">
        <v>183</v>
      </c>
      <c r="K453" s="4" t="s">
        <v>183</v>
      </c>
      <c r="L453" s="4" t="s">
        <v>183</v>
      </c>
    </row>
    <row r="454" spans="8:12">
      <c r="H454" s="3" t="s">
        <v>1242</v>
      </c>
      <c r="I454" s="4" t="s">
        <v>1243</v>
      </c>
      <c r="J454" s="4" t="s">
        <v>183</v>
      </c>
      <c r="K454" s="4" t="s">
        <v>183</v>
      </c>
      <c r="L454" s="4" t="s">
        <v>183</v>
      </c>
    </row>
    <row r="455" spans="8:12">
      <c r="H455" s="3" t="s">
        <v>1244</v>
      </c>
      <c r="I455" s="4" t="s">
        <v>1245</v>
      </c>
      <c r="J455" s="4" t="s">
        <v>183</v>
      </c>
      <c r="K455" s="4" t="s">
        <v>183</v>
      </c>
      <c r="L455" s="4" t="s">
        <v>183</v>
      </c>
    </row>
    <row r="456" spans="8:12">
      <c r="H456" s="3" t="s">
        <v>1246</v>
      </c>
      <c r="I456" s="4" t="s">
        <v>1247</v>
      </c>
      <c r="J456" s="4" t="s">
        <v>183</v>
      </c>
      <c r="K456" s="4" t="s">
        <v>183</v>
      </c>
      <c r="L456" s="4" t="s">
        <v>183</v>
      </c>
    </row>
    <row r="457" spans="8:12">
      <c r="H457" s="3" t="s">
        <v>1248</v>
      </c>
      <c r="I457" s="4" t="s">
        <v>1249</v>
      </c>
      <c r="J457" s="4" t="s">
        <v>183</v>
      </c>
      <c r="K457" s="4" t="s">
        <v>183</v>
      </c>
      <c r="L457" s="4" t="s">
        <v>183</v>
      </c>
    </row>
    <row r="458" spans="8:12">
      <c r="H458" s="3" t="s">
        <v>1250</v>
      </c>
      <c r="I458" s="4" t="s">
        <v>1251</v>
      </c>
      <c r="J458" s="4" t="s">
        <v>183</v>
      </c>
      <c r="K458" s="4" t="s">
        <v>183</v>
      </c>
      <c r="L458" s="4" t="s">
        <v>183</v>
      </c>
    </row>
    <row r="459" spans="8:12">
      <c r="H459" s="3" t="s">
        <v>1252</v>
      </c>
      <c r="I459" s="4" t="s">
        <v>1253</v>
      </c>
      <c r="J459" s="4" t="s">
        <v>183</v>
      </c>
      <c r="K459" s="4" t="s">
        <v>183</v>
      </c>
      <c r="L459" s="4" t="s">
        <v>183</v>
      </c>
    </row>
    <row r="460" spans="8:12">
      <c r="H460" s="3" t="s">
        <v>1254</v>
      </c>
      <c r="I460" s="4" t="s">
        <v>1255</v>
      </c>
      <c r="J460" s="4" t="s">
        <v>183</v>
      </c>
      <c r="K460" s="4" t="s">
        <v>183</v>
      </c>
      <c r="L460" s="4" t="s">
        <v>183</v>
      </c>
    </row>
    <row r="461" spans="8:12">
      <c r="H461" s="3" t="s">
        <v>1256</v>
      </c>
      <c r="I461" s="4" t="s">
        <v>1257</v>
      </c>
      <c r="J461" s="4" t="s">
        <v>183</v>
      </c>
      <c r="K461" s="4" t="s">
        <v>183</v>
      </c>
      <c r="L461" s="4" t="s">
        <v>183</v>
      </c>
    </row>
    <row r="462" spans="8:12">
      <c r="H462" s="3" t="s">
        <v>1258</v>
      </c>
      <c r="I462" s="4" t="s">
        <v>1259</v>
      </c>
      <c r="J462" s="4" t="s">
        <v>183</v>
      </c>
      <c r="K462" s="4" t="s">
        <v>183</v>
      </c>
      <c r="L462" s="4" t="s">
        <v>183</v>
      </c>
    </row>
    <row r="463" spans="8:12">
      <c r="H463" s="3" t="s">
        <v>1260</v>
      </c>
      <c r="I463" s="4" t="s">
        <v>1261</v>
      </c>
      <c r="J463" s="4" t="s">
        <v>183</v>
      </c>
      <c r="K463" s="4" t="s">
        <v>183</v>
      </c>
      <c r="L463" s="4" t="s">
        <v>183</v>
      </c>
    </row>
    <row r="464" spans="8:12">
      <c r="H464" s="3" t="s">
        <v>1262</v>
      </c>
      <c r="I464" s="4" t="s">
        <v>1263</v>
      </c>
      <c r="J464" s="4" t="s">
        <v>183</v>
      </c>
      <c r="K464" s="4" t="s">
        <v>183</v>
      </c>
      <c r="L464" s="4" t="s">
        <v>183</v>
      </c>
    </row>
    <row r="465" spans="8:12">
      <c r="H465" s="3" t="s">
        <v>1264</v>
      </c>
      <c r="I465" s="4" t="s">
        <v>1265</v>
      </c>
      <c r="J465" s="4" t="s">
        <v>183</v>
      </c>
      <c r="K465" s="4" t="s">
        <v>183</v>
      </c>
      <c r="L465" s="4" t="s">
        <v>183</v>
      </c>
    </row>
    <row r="466" spans="8:12">
      <c r="H466" s="3" t="s">
        <v>1266</v>
      </c>
      <c r="I466" s="4" t="s">
        <v>1267</v>
      </c>
      <c r="J466" s="4" t="s">
        <v>183</v>
      </c>
      <c r="K466" s="4" t="s">
        <v>183</v>
      </c>
      <c r="L466" s="4" t="s">
        <v>183</v>
      </c>
    </row>
    <row r="467" spans="8:12">
      <c r="H467" s="3" t="s">
        <v>1268</v>
      </c>
      <c r="I467" s="4" t="s">
        <v>1269</v>
      </c>
      <c r="J467" s="4" t="s">
        <v>167</v>
      </c>
      <c r="K467" s="4" t="s">
        <v>167</v>
      </c>
      <c r="L467" s="4" t="s">
        <v>42</v>
      </c>
    </row>
    <row r="468" spans="8:12">
      <c r="H468" s="3" t="s">
        <v>1270</v>
      </c>
      <c r="I468" s="4" t="s">
        <v>1271</v>
      </c>
      <c r="J468" s="4" t="s">
        <v>183</v>
      </c>
      <c r="K468" s="4" t="s">
        <v>183</v>
      </c>
      <c r="L468" s="4" t="s">
        <v>183</v>
      </c>
    </row>
    <row r="469" spans="8:12">
      <c r="H469" s="3" t="s">
        <v>1272</v>
      </c>
      <c r="I469" s="4" t="s">
        <v>1273</v>
      </c>
      <c r="J469" s="4" t="s">
        <v>167</v>
      </c>
      <c r="K469" s="4" t="s">
        <v>65</v>
      </c>
      <c r="L469" s="4" t="s">
        <v>42</v>
      </c>
    </row>
    <row r="470" spans="8:12">
      <c r="H470" s="3" t="s">
        <v>1274</v>
      </c>
      <c r="I470" s="4" t="s">
        <v>1275</v>
      </c>
      <c r="J470" s="4" t="s">
        <v>183</v>
      </c>
      <c r="K470" s="4" t="s">
        <v>183</v>
      </c>
      <c r="L470" s="4" t="s">
        <v>183</v>
      </c>
    </row>
    <row r="471" spans="8:12">
      <c r="H471" s="3" t="s">
        <v>1276</v>
      </c>
      <c r="I471" s="4" t="s">
        <v>1277</v>
      </c>
      <c r="J471" s="4" t="s">
        <v>183</v>
      </c>
      <c r="K471" s="4" t="s">
        <v>183</v>
      </c>
      <c r="L471" s="4" t="s">
        <v>183</v>
      </c>
    </row>
    <row r="472" spans="8:12">
      <c r="H472" s="3" t="s">
        <v>1278</v>
      </c>
      <c r="I472" s="4" t="s">
        <v>1279</v>
      </c>
      <c r="J472" s="4" t="s">
        <v>183</v>
      </c>
      <c r="K472" s="4" t="s">
        <v>183</v>
      </c>
      <c r="L472" s="4" t="s">
        <v>183</v>
      </c>
    </row>
    <row r="473" spans="8:12">
      <c r="H473" s="3" t="s">
        <v>1280</v>
      </c>
      <c r="I473" s="4" t="s">
        <v>1281</v>
      </c>
      <c r="J473" s="4" t="s">
        <v>183</v>
      </c>
      <c r="K473" s="4" t="s">
        <v>183</v>
      </c>
      <c r="L473" s="4" t="s">
        <v>183</v>
      </c>
    </row>
    <row r="474" spans="8:12">
      <c r="H474" s="3" t="s">
        <v>1282</v>
      </c>
      <c r="I474" s="4" t="s">
        <v>1283</v>
      </c>
      <c r="J474" s="4" t="s">
        <v>183</v>
      </c>
      <c r="K474" s="4" t="s">
        <v>183</v>
      </c>
      <c r="L474" s="4" t="s">
        <v>183</v>
      </c>
    </row>
    <row r="475" spans="8:12">
      <c r="H475" s="3" t="s">
        <v>1284</v>
      </c>
      <c r="I475" s="4" t="s">
        <v>1285</v>
      </c>
      <c r="J475" s="4" t="s">
        <v>183</v>
      </c>
      <c r="K475" s="4" t="s">
        <v>183</v>
      </c>
      <c r="L475" s="4" t="s">
        <v>183</v>
      </c>
    </row>
    <row r="476" spans="8:12">
      <c r="H476" s="3" t="s">
        <v>1286</v>
      </c>
      <c r="I476" s="4" t="s">
        <v>1287</v>
      </c>
      <c r="J476" s="4" t="s">
        <v>183</v>
      </c>
      <c r="K476" s="4" t="s">
        <v>183</v>
      </c>
      <c r="L476" s="4" t="s">
        <v>183</v>
      </c>
    </row>
    <row r="477" spans="8:12">
      <c r="H477" s="3" t="s">
        <v>1288</v>
      </c>
      <c r="I477" s="4" t="s">
        <v>1289</v>
      </c>
      <c r="J477" s="4" t="s">
        <v>63</v>
      </c>
      <c r="K477" s="4" t="s">
        <v>65</v>
      </c>
      <c r="L477" s="4" t="s">
        <v>42</v>
      </c>
    </row>
    <row r="478" spans="8:12">
      <c r="H478" s="3" t="s">
        <v>1290</v>
      </c>
      <c r="I478" s="4" t="s">
        <v>1291</v>
      </c>
      <c r="J478" s="4" t="s">
        <v>183</v>
      </c>
      <c r="K478" s="4" t="s">
        <v>183</v>
      </c>
      <c r="L478" s="4" t="s">
        <v>183</v>
      </c>
    </row>
    <row r="479" spans="8:12">
      <c r="H479" s="3" t="s">
        <v>1292</v>
      </c>
      <c r="I479" s="4" t="s">
        <v>1293</v>
      </c>
      <c r="J479" s="4" t="s">
        <v>183</v>
      </c>
      <c r="K479" s="4" t="s">
        <v>183</v>
      </c>
      <c r="L479" s="4" t="s">
        <v>183</v>
      </c>
    </row>
    <row r="480" spans="8:12">
      <c r="H480" s="3" t="s">
        <v>1294</v>
      </c>
      <c r="I480" s="4" t="s">
        <v>1295</v>
      </c>
      <c r="J480" s="4" t="s">
        <v>183</v>
      </c>
      <c r="K480" s="4" t="s">
        <v>183</v>
      </c>
      <c r="L480" s="4" t="s">
        <v>183</v>
      </c>
    </row>
    <row r="481" spans="8:12">
      <c r="H481" s="3" t="s">
        <v>1296</v>
      </c>
      <c r="I481" s="4" t="s">
        <v>1297</v>
      </c>
      <c r="J481" s="4" t="s">
        <v>183</v>
      </c>
      <c r="K481" s="4" t="s">
        <v>183</v>
      </c>
      <c r="L481" s="4" t="s">
        <v>183</v>
      </c>
    </row>
    <row r="482" spans="8:12">
      <c r="H482" s="3" t="s">
        <v>1298</v>
      </c>
      <c r="I482" s="4" t="s">
        <v>1299</v>
      </c>
      <c r="J482" s="4" t="s">
        <v>183</v>
      </c>
      <c r="K482" s="4" t="s">
        <v>183</v>
      </c>
      <c r="L482" s="4" t="s">
        <v>183</v>
      </c>
    </row>
    <row r="483" spans="8:12">
      <c r="H483" s="3" t="s">
        <v>1300</v>
      </c>
      <c r="I483" s="4" t="s">
        <v>152</v>
      </c>
      <c r="J483" s="4" t="s">
        <v>119</v>
      </c>
      <c r="K483" s="4" t="s">
        <v>119</v>
      </c>
      <c r="L483" s="4" t="s">
        <v>42</v>
      </c>
    </row>
    <row r="484" spans="8:12">
      <c r="H484" s="3" t="s">
        <v>1301</v>
      </c>
      <c r="I484" s="4" t="s">
        <v>1302</v>
      </c>
      <c r="J484" s="4" t="s">
        <v>183</v>
      </c>
      <c r="K484" s="4" t="s">
        <v>183</v>
      </c>
      <c r="L484" s="4" t="s">
        <v>183</v>
      </c>
    </row>
    <row r="485" spans="8:12">
      <c r="H485" s="3" t="s">
        <v>1303</v>
      </c>
      <c r="I485" s="4" t="s">
        <v>1304</v>
      </c>
      <c r="J485" s="4" t="s">
        <v>183</v>
      </c>
      <c r="K485" s="4" t="s">
        <v>183</v>
      </c>
      <c r="L485" s="4" t="s">
        <v>183</v>
      </c>
    </row>
    <row r="486" spans="8:12">
      <c r="H486" s="3" t="s">
        <v>1305</v>
      </c>
      <c r="I486" s="4" t="s">
        <v>1306</v>
      </c>
      <c r="J486" s="4" t="s">
        <v>183</v>
      </c>
      <c r="K486" s="4" t="s">
        <v>183</v>
      </c>
      <c r="L486" s="4" t="s">
        <v>183</v>
      </c>
    </row>
    <row r="487" spans="8:12">
      <c r="H487" s="3" t="s">
        <v>1307</v>
      </c>
      <c r="I487" s="4" t="s">
        <v>1308</v>
      </c>
      <c r="J487" s="4" t="s">
        <v>1309</v>
      </c>
      <c r="K487" s="4" t="s">
        <v>153</v>
      </c>
      <c r="L487" s="4" t="s">
        <v>42</v>
      </c>
    </row>
    <row r="488" spans="8:12">
      <c r="H488" s="3" t="s">
        <v>1310</v>
      </c>
      <c r="I488" s="4" t="s">
        <v>1311</v>
      </c>
      <c r="J488" s="4" t="s">
        <v>183</v>
      </c>
      <c r="K488" s="4" t="s">
        <v>183</v>
      </c>
      <c r="L488" s="4" t="s">
        <v>183</v>
      </c>
    </row>
    <row r="489" spans="8:12">
      <c r="H489" s="3" t="s">
        <v>1312</v>
      </c>
      <c r="I489" s="4" t="s">
        <v>1313</v>
      </c>
      <c r="J489" s="4" t="s">
        <v>183</v>
      </c>
      <c r="K489" s="4" t="s">
        <v>183</v>
      </c>
      <c r="L489" s="4" t="s">
        <v>183</v>
      </c>
    </row>
    <row r="490" spans="8:12">
      <c r="H490" s="3" t="s">
        <v>1314</v>
      </c>
      <c r="I490" s="4" t="s">
        <v>1315</v>
      </c>
      <c r="J490" s="4" t="s">
        <v>183</v>
      </c>
      <c r="K490" s="4" t="s">
        <v>183</v>
      </c>
      <c r="L490" s="4" t="s">
        <v>183</v>
      </c>
    </row>
    <row r="491" spans="8:12">
      <c r="H491" s="3" t="s">
        <v>1316</v>
      </c>
      <c r="I491" s="4" t="s">
        <v>1317</v>
      </c>
      <c r="J491" s="4" t="s">
        <v>183</v>
      </c>
      <c r="K491" s="4" t="s">
        <v>183</v>
      </c>
      <c r="L491" s="4" t="s">
        <v>183</v>
      </c>
    </row>
    <row r="492" spans="8:12">
      <c r="H492" s="3" t="s">
        <v>1318</v>
      </c>
      <c r="I492" s="4" t="s">
        <v>1319</v>
      </c>
      <c r="J492" s="4" t="s">
        <v>183</v>
      </c>
      <c r="K492" s="4" t="s">
        <v>183</v>
      </c>
      <c r="L492" s="4" t="s">
        <v>183</v>
      </c>
    </row>
    <row r="493" spans="8:12">
      <c r="H493" s="3" t="s">
        <v>1320</v>
      </c>
      <c r="I493" s="4" t="s">
        <v>1321</v>
      </c>
      <c r="J493" s="4" t="s">
        <v>1309</v>
      </c>
      <c r="K493" s="4" t="s">
        <v>153</v>
      </c>
      <c r="L493" s="4" t="s">
        <v>42</v>
      </c>
    </row>
    <row r="494" spans="8:12">
      <c r="H494" s="3" t="s">
        <v>1322</v>
      </c>
      <c r="I494" s="4" t="s">
        <v>1323</v>
      </c>
      <c r="J494" s="4" t="s">
        <v>183</v>
      </c>
      <c r="K494" s="4" t="s">
        <v>183</v>
      </c>
      <c r="L494" s="4" t="s">
        <v>183</v>
      </c>
    </row>
    <row r="495" spans="8:12">
      <c r="H495" s="3" t="s">
        <v>1324</v>
      </c>
      <c r="I495" s="4" t="s">
        <v>1325</v>
      </c>
      <c r="J495" s="4" t="s">
        <v>63</v>
      </c>
      <c r="K495" s="4" t="s">
        <v>65</v>
      </c>
      <c r="L495" s="4" t="s">
        <v>42</v>
      </c>
    </row>
    <row r="496" spans="8:12">
      <c r="H496" s="3" t="s">
        <v>1326</v>
      </c>
      <c r="I496" s="4" t="s">
        <v>1327</v>
      </c>
      <c r="J496" s="4" t="s">
        <v>183</v>
      </c>
      <c r="K496" s="4" t="s">
        <v>183</v>
      </c>
      <c r="L496" s="4" t="s">
        <v>183</v>
      </c>
    </row>
    <row r="497" spans="8:12">
      <c r="H497" s="3" t="s">
        <v>1328</v>
      </c>
      <c r="I497" s="4" t="s">
        <v>1329</v>
      </c>
      <c r="J497" s="4" t="s">
        <v>1330</v>
      </c>
      <c r="K497" s="4" t="s">
        <v>1330</v>
      </c>
      <c r="L497" s="4" t="s">
        <v>42</v>
      </c>
    </row>
    <row r="498" spans="8:12">
      <c r="H498" s="3" t="s">
        <v>1331</v>
      </c>
      <c r="I498" s="4" t="s">
        <v>1332</v>
      </c>
      <c r="J498" s="4" t="s">
        <v>1333</v>
      </c>
      <c r="K498" s="4" t="s">
        <v>1334</v>
      </c>
      <c r="L498" s="4" t="s">
        <v>42</v>
      </c>
    </row>
    <row r="499" spans="8:12">
      <c r="H499" s="3" t="s">
        <v>1335</v>
      </c>
      <c r="I499" s="4" t="s">
        <v>1336</v>
      </c>
      <c r="J499" s="4" t="s">
        <v>183</v>
      </c>
      <c r="K499" s="4" t="s">
        <v>183</v>
      </c>
      <c r="L499" s="4" t="s">
        <v>183</v>
      </c>
    </row>
    <row r="500" spans="8:12">
      <c r="H500" s="3" t="s">
        <v>1337</v>
      </c>
      <c r="I500" s="4" t="s">
        <v>1338</v>
      </c>
      <c r="J500" s="4" t="s">
        <v>183</v>
      </c>
      <c r="K500" s="4" t="s">
        <v>183</v>
      </c>
      <c r="L500" s="4" t="s">
        <v>183</v>
      </c>
    </row>
    <row r="501" spans="8:12">
      <c r="H501" s="3" t="s">
        <v>1339</v>
      </c>
      <c r="I501" s="4" t="s">
        <v>1340</v>
      </c>
      <c r="J501" s="4" t="s">
        <v>183</v>
      </c>
      <c r="K501" s="4" t="s">
        <v>183</v>
      </c>
      <c r="L501" s="4" t="s">
        <v>183</v>
      </c>
    </row>
    <row r="502" spans="8:12">
      <c r="H502" s="3" t="s">
        <v>1341</v>
      </c>
      <c r="I502" s="4" t="s">
        <v>1342</v>
      </c>
      <c r="J502" s="4" t="s">
        <v>183</v>
      </c>
      <c r="K502" s="4" t="s">
        <v>183</v>
      </c>
      <c r="L502" s="4" t="s">
        <v>183</v>
      </c>
    </row>
    <row r="503" spans="8:12">
      <c r="H503" s="3" t="s">
        <v>1343</v>
      </c>
      <c r="I503" s="4" t="s">
        <v>1344</v>
      </c>
      <c r="J503" s="4" t="s">
        <v>183</v>
      </c>
      <c r="K503" s="4" t="s">
        <v>183</v>
      </c>
      <c r="L503" s="4" t="s">
        <v>183</v>
      </c>
    </row>
    <row r="504" spans="8:12">
      <c r="H504" s="3" t="s">
        <v>1345</v>
      </c>
      <c r="I504" s="4" t="s">
        <v>1346</v>
      </c>
      <c r="J504" s="4" t="s">
        <v>1347</v>
      </c>
      <c r="K504" s="4" t="s">
        <v>1347</v>
      </c>
      <c r="L504" s="4" t="s">
        <v>42</v>
      </c>
    </row>
    <row r="505" spans="8:12">
      <c r="H505" s="3" t="s">
        <v>1348</v>
      </c>
      <c r="I505" s="4" t="s">
        <v>1349</v>
      </c>
      <c r="J505" s="4" t="s">
        <v>183</v>
      </c>
      <c r="K505" s="4" t="s">
        <v>183</v>
      </c>
      <c r="L505" s="4" t="s">
        <v>183</v>
      </c>
    </row>
    <row r="506" spans="8:12">
      <c r="H506" s="3" t="s">
        <v>1350</v>
      </c>
      <c r="I506" s="4" t="s">
        <v>1351</v>
      </c>
      <c r="J506" s="4" t="s">
        <v>1347</v>
      </c>
      <c r="K506" s="4" t="s">
        <v>1347</v>
      </c>
      <c r="L506" s="4" t="s">
        <v>42</v>
      </c>
    </row>
    <row r="507" spans="8:12">
      <c r="H507" s="3" t="s">
        <v>1352</v>
      </c>
      <c r="I507" s="4" t="s">
        <v>1353</v>
      </c>
      <c r="J507" s="4" t="s">
        <v>183</v>
      </c>
      <c r="K507" s="4" t="s">
        <v>183</v>
      </c>
      <c r="L507" s="4" t="s">
        <v>183</v>
      </c>
    </row>
    <row r="508" spans="8:12">
      <c r="H508" s="3" t="s">
        <v>1354</v>
      </c>
      <c r="I508" s="4" t="s">
        <v>1355</v>
      </c>
      <c r="J508" s="4" t="s">
        <v>183</v>
      </c>
      <c r="K508" s="4" t="s">
        <v>183</v>
      </c>
      <c r="L508" s="4" t="s">
        <v>183</v>
      </c>
    </row>
    <row r="509" spans="8:12">
      <c r="H509" s="3" t="s">
        <v>1356</v>
      </c>
      <c r="I509" s="4" t="s">
        <v>1357</v>
      </c>
      <c r="J509" s="4" t="s">
        <v>183</v>
      </c>
      <c r="K509" s="4" t="s">
        <v>183</v>
      </c>
      <c r="L509" s="4" t="s">
        <v>183</v>
      </c>
    </row>
    <row r="510" spans="8:12">
      <c r="H510" s="3" t="s">
        <v>1358</v>
      </c>
      <c r="I510" s="4" t="s">
        <v>1359</v>
      </c>
      <c r="J510" s="4" t="s">
        <v>183</v>
      </c>
      <c r="K510" s="4" t="s">
        <v>183</v>
      </c>
      <c r="L510" s="4" t="s">
        <v>183</v>
      </c>
    </row>
    <row r="511" spans="8:12">
      <c r="H511" s="3" t="s">
        <v>1360</v>
      </c>
      <c r="I511" s="4" t="s">
        <v>1361</v>
      </c>
      <c r="J511" s="4" t="s">
        <v>183</v>
      </c>
      <c r="K511" s="4" t="s">
        <v>183</v>
      </c>
      <c r="L511" s="4" t="s">
        <v>183</v>
      </c>
    </row>
    <row r="512" spans="8:12">
      <c r="H512" s="3" t="s">
        <v>1362</v>
      </c>
      <c r="I512" s="4" t="s">
        <v>1363</v>
      </c>
      <c r="J512" s="4" t="s">
        <v>183</v>
      </c>
      <c r="K512" s="4" t="s">
        <v>183</v>
      </c>
      <c r="L512" s="4" t="s">
        <v>183</v>
      </c>
    </row>
    <row r="513" spans="8:12">
      <c r="H513" s="3" t="s">
        <v>1364</v>
      </c>
      <c r="I513" s="4" t="s">
        <v>1365</v>
      </c>
      <c r="J513" s="4" t="s">
        <v>183</v>
      </c>
      <c r="K513" s="4" t="s">
        <v>183</v>
      </c>
      <c r="L513" s="4" t="s">
        <v>183</v>
      </c>
    </row>
    <row r="514" spans="8:12">
      <c r="H514" s="3" t="s">
        <v>1366</v>
      </c>
      <c r="I514" s="4" t="s">
        <v>1367</v>
      </c>
      <c r="J514" s="4" t="s">
        <v>183</v>
      </c>
      <c r="K514" s="4" t="s">
        <v>183</v>
      </c>
      <c r="L514" s="4" t="s">
        <v>183</v>
      </c>
    </row>
    <row r="515" spans="8:12">
      <c r="H515" s="3" t="s">
        <v>1368</v>
      </c>
      <c r="I515" s="4" t="s">
        <v>1369</v>
      </c>
      <c r="J515" s="4" t="s">
        <v>183</v>
      </c>
      <c r="K515" s="4" t="s">
        <v>183</v>
      </c>
      <c r="L515" s="4" t="s">
        <v>183</v>
      </c>
    </row>
    <row r="516" spans="8:12">
      <c r="H516" s="3" t="s">
        <v>1370</v>
      </c>
      <c r="I516" s="4" t="s">
        <v>1371</v>
      </c>
      <c r="J516" s="4" t="s">
        <v>183</v>
      </c>
      <c r="K516" s="4" t="s">
        <v>183</v>
      </c>
      <c r="L516" s="4" t="s">
        <v>183</v>
      </c>
    </row>
    <row r="517" spans="8:12">
      <c r="H517" s="3" t="s">
        <v>1372</v>
      </c>
      <c r="I517" s="4" t="s">
        <v>1373</v>
      </c>
      <c r="J517" s="4" t="s">
        <v>183</v>
      </c>
      <c r="K517" s="4" t="s">
        <v>183</v>
      </c>
      <c r="L517" s="4" t="s">
        <v>183</v>
      </c>
    </row>
    <row r="518" spans="8:12">
      <c r="H518" s="3" t="s">
        <v>1374</v>
      </c>
      <c r="I518" s="4" t="s">
        <v>1375</v>
      </c>
      <c r="J518" s="4" t="s">
        <v>183</v>
      </c>
      <c r="K518" s="4" t="s">
        <v>183</v>
      </c>
      <c r="L518" s="4" t="s">
        <v>183</v>
      </c>
    </row>
    <row r="519" spans="8:12">
      <c r="H519" s="3" t="s">
        <v>1376</v>
      </c>
      <c r="I519" s="4" t="s">
        <v>1377</v>
      </c>
      <c r="J519" s="4" t="s">
        <v>183</v>
      </c>
      <c r="K519" s="4" t="s">
        <v>183</v>
      </c>
      <c r="L519" s="4" t="s">
        <v>183</v>
      </c>
    </row>
    <row r="520" spans="8:12">
      <c r="H520" s="3" t="s">
        <v>1378</v>
      </c>
      <c r="I520" s="4" t="s">
        <v>1379</v>
      </c>
      <c r="J520" s="4" t="s">
        <v>183</v>
      </c>
      <c r="K520" s="4" t="s">
        <v>183</v>
      </c>
      <c r="L520" s="4" t="s">
        <v>183</v>
      </c>
    </row>
    <row r="521" spans="8:12">
      <c r="H521" s="3" t="s">
        <v>1380</v>
      </c>
      <c r="I521" s="4" t="s">
        <v>1381</v>
      </c>
      <c r="J521" s="4" t="s">
        <v>183</v>
      </c>
      <c r="K521" s="4" t="s">
        <v>183</v>
      </c>
      <c r="L521" s="4" t="s">
        <v>183</v>
      </c>
    </row>
    <row r="522" spans="8:12">
      <c r="H522" s="3" t="s">
        <v>1382</v>
      </c>
      <c r="I522" s="4" t="s">
        <v>1383</v>
      </c>
      <c r="J522" s="4" t="s">
        <v>183</v>
      </c>
      <c r="K522" s="4" t="s">
        <v>183</v>
      </c>
      <c r="L522" s="4" t="s">
        <v>183</v>
      </c>
    </row>
    <row r="523" spans="8:12">
      <c r="H523" s="3" t="s">
        <v>1384</v>
      </c>
      <c r="I523" s="4" t="s">
        <v>1385</v>
      </c>
      <c r="J523" s="4" t="s">
        <v>1386</v>
      </c>
      <c r="K523" s="4" t="s">
        <v>65</v>
      </c>
      <c r="L523" s="4" t="s">
        <v>1385</v>
      </c>
    </row>
    <row r="524" spans="8:12">
      <c r="H524" s="3" t="s">
        <v>1387</v>
      </c>
      <c r="I524" s="4" t="s">
        <v>1385</v>
      </c>
      <c r="J524" s="4" t="s">
        <v>1385</v>
      </c>
      <c r="K524" s="4" t="s">
        <v>1385</v>
      </c>
      <c r="L524" s="4" t="s">
        <v>1385</v>
      </c>
    </row>
    <row r="525" spans="8:12">
      <c r="H525" s="3" t="s">
        <v>1388</v>
      </c>
      <c r="I525" s="4" t="s">
        <v>1389</v>
      </c>
      <c r="J525" s="4" t="s">
        <v>183</v>
      </c>
      <c r="K525" s="4" t="s">
        <v>183</v>
      </c>
      <c r="L525" s="4" t="s">
        <v>183</v>
      </c>
    </row>
    <row r="526" spans="8:12">
      <c r="H526" s="3" t="s">
        <v>1390</v>
      </c>
      <c r="I526" s="4" t="s">
        <v>1391</v>
      </c>
      <c r="J526" s="4" t="s">
        <v>183</v>
      </c>
      <c r="K526" s="4" t="s">
        <v>183</v>
      </c>
      <c r="L526" s="4" t="s">
        <v>183</v>
      </c>
    </row>
    <row r="527" spans="8:12">
      <c r="H527" s="3" t="s">
        <v>1392</v>
      </c>
      <c r="I527" s="4" t="s">
        <v>1393</v>
      </c>
      <c r="J527" s="4" t="s">
        <v>183</v>
      </c>
      <c r="K527" s="4" t="s">
        <v>183</v>
      </c>
      <c r="L527" s="4" t="s">
        <v>183</v>
      </c>
    </row>
    <row r="528" spans="8:12">
      <c r="H528" s="3" t="s">
        <v>1394</v>
      </c>
      <c r="I528" s="4" t="s">
        <v>1395</v>
      </c>
      <c r="J528" s="4" t="s">
        <v>183</v>
      </c>
      <c r="K528" s="4" t="s">
        <v>183</v>
      </c>
      <c r="L528" s="4" t="s">
        <v>183</v>
      </c>
    </row>
    <row r="529" spans="8:12">
      <c r="H529" s="3" t="s">
        <v>1396</v>
      </c>
      <c r="I529" s="4" t="s">
        <v>1397</v>
      </c>
      <c r="J529" s="4" t="s">
        <v>183</v>
      </c>
      <c r="K529" s="4" t="s">
        <v>183</v>
      </c>
      <c r="L529" s="4" t="s">
        <v>183</v>
      </c>
    </row>
    <row r="530" spans="8:12">
      <c r="H530" s="3" t="s">
        <v>1398</v>
      </c>
      <c r="I530" s="4" t="s">
        <v>1399</v>
      </c>
      <c r="J530" s="4" t="s">
        <v>183</v>
      </c>
      <c r="K530" s="4" t="s">
        <v>183</v>
      </c>
      <c r="L530" s="4" t="s">
        <v>183</v>
      </c>
    </row>
    <row r="531" spans="8:12">
      <c r="H531" s="3" t="s">
        <v>1400</v>
      </c>
      <c r="I531" s="4" t="s">
        <v>1401</v>
      </c>
      <c r="J531" s="4" t="s">
        <v>183</v>
      </c>
      <c r="K531" s="4" t="s">
        <v>183</v>
      </c>
      <c r="L531" s="4" t="s">
        <v>183</v>
      </c>
    </row>
    <row r="532" spans="8:12">
      <c r="H532" s="3" t="s">
        <v>1402</v>
      </c>
      <c r="I532" s="4" t="s">
        <v>1403</v>
      </c>
      <c r="J532" s="4" t="s">
        <v>42</v>
      </c>
      <c r="K532" s="4" t="s">
        <v>42</v>
      </c>
      <c r="L532" s="4" t="s">
        <v>42</v>
      </c>
    </row>
    <row r="533" spans="8:12">
      <c r="H533" s="3" t="s">
        <v>1404</v>
      </c>
      <c r="I533" s="4" t="s">
        <v>1405</v>
      </c>
      <c r="J533" s="4" t="s">
        <v>183</v>
      </c>
      <c r="K533" s="4" t="s">
        <v>183</v>
      </c>
      <c r="L533" s="4" t="s">
        <v>183</v>
      </c>
    </row>
    <row r="534" spans="8:12">
      <c r="H534" s="3" t="s">
        <v>1406</v>
      </c>
      <c r="I534" s="4" t="s">
        <v>1407</v>
      </c>
      <c r="J534" s="4" t="s">
        <v>183</v>
      </c>
      <c r="K534" s="4" t="s">
        <v>183</v>
      </c>
      <c r="L534" s="4" t="s">
        <v>183</v>
      </c>
    </row>
    <row r="535" spans="8:12">
      <c r="H535" s="3" t="s">
        <v>1408</v>
      </c>
      <c r="I535" s="4" t="s">
        <v>1409</v>
      </c>
      <c r="J535" s="4" t="s">
        <v>183</v>
      </c>
      <c r="K535" s="4" t="s">
        <v>183</v>
      </c>
      <c r="L535" s="4" t="s">
        <v>183</v>
      </c>
    </row>
    <row r="536" spans="8:12">
      <c r="H536" s="3" t="s">
        <v>1410</v>
      </c>
      <c r="I536" s="4" t="s">
        <v>1411</v>
      </c>
      <c r="J536" s="4" t="s">
        <v>183</v>
      </c>
      <c r="K536" s="4" t="s">
        <v>183</v>
      </c>
      <c r="L536" s="4" t="s">
        <v>183</v>
      </c>
    </row>
    <row r="537" spans="8:12">
      <c r="H537" s="3" t="s">
        <v>1412</v>
      </c>
      <c r="I537" s="4" t="s">
        <v>1413</v>
      </c>
      <c r="J537" s="4" t="s">
        <v>183</v>
      </c>
      <c r="K537" s="4" t="s">
        <v>183</v>
      </c>
      <c r="L537" s="4" t="s">
        <v>183</v>
      </c>
    </row>
    <row r="538" spans="8:12">
      <c r="H538" s="3" t="s">
        <v>1414</v>
      </c>
      <c r="I538" s="4" t="s">
        <v>1415</v>
      </c>
      <c r="J538" s="4" t="s">
        <v>183</v>
      </c>
      <c r="K538" s="4" t="s">
        <v>183</v>
      </c>
      <c r="L538" s="4" t="s">
        <v>183</v>
      </c>
    </row>
    <row r="539" spans="8:12">
      <c r="H539" s="3" t="s">
        <v>1416</v>
      </c>
      <c r="I539" s="4" t="s">
        <v>1417</v>
      </c>
      <c r="J539" s="4" t="s">
        <v>183</v>
      </c>
      <c r="K539" s="4" t="s">
        <v>183</v>
      </c>
      <c r="L539" s="4" t="s">
        <v>183</v>
      </c>
    </row>
    <row r="540" spans="8:12">
      <c r="H540" s="3" t="s">
        <v>1418</v>
      </c>
      <c r="I540" s="4" t="s">
        <v>1419</v>
      </c>
      <c r="J540" s="4" t="s">
        <v>183</v>
      </c>
      <c r="K540" s="4" t="s">
        <v>183</v>
      </c>
      <c r="L540" s="4" t="s">
        <v>183</v>
      </c>
    </row>
    <row r="541" spans="8:12">
      <c r="H541" s="3" t="s">
        <v>1420</v>
      </c>
      <c r="I541" s="4" t="s">
        <v>1421</v>
      </c>
      <c r="J541" s="4" t="s">
        <v>183</v>
      </c>
      <c r="K541" s="4" t="s">
        <v>183</v>
      </c>
      <c r="L541" s="4" t="s">
        <v>183</v>
      </c>
    </row>
    <row r="542" spans="8:12">
      <c r="H542" s="3" t="s">
        <v>1422</v>
      </c>
      <c r="I542" s="4" t="s">
        <v>1423</v>
      </c>
      <c r="J542" s="4" t="s">
        <v>183</v>
      </c>
      <c r="K542" s="4" t="s">
        <v>183</v>
      </c>
      <c r="L542" s="4" t="s">
        <v>183</v>
      </c>
    </row>
    <row r="543" spans="8:12">
      <c r="H543" s="3" t="s">
        <v>1424</v>
      </c>
      <c r="I543" s="4" t="s">
        <v>1425</v>
      </c>
      <c r="J543" s="4" t="s">
        <v>183</v>
      </c>
      <c r="K543" s="4" t="s">
        <v>183</v>
      </c>
      <c r="L543" s="4" t="s">
        <v>183</v>
      </c>
    </row>
    <row r="544" spans="8:12">
      <c r="H544" s="3" t="s">
        <v>1426</v>
      </c>
      <c r="I544" s="4" t="s">
        <v>1427</v>
      </c>
      <c r="J544" s="4" t="s">
        <v>183</v>
      </c>
      <c r="K544" s="4" t="s">
        <v>183</v>
      </c>
      <c r="L544" s="4" t="s">
        <v>183</v>
      </c>
    </row>
    <row r="545" spans="8:12">
      <c r="H545" s="3" t="s">
        <v>1428</v>
      </c>
      <c r="I545" s="4" t="s">
        <v>1429</v>
      </c>
      <c r="J545" s="4" t="s">
        <v>183</v>
      </c>
      <c r="K545" s="4" t="s">
        <v>183</v>
      </c>
      <c r="L545" s="4" t="s">
        <v>183</v>
      </c>
    </row>
    <row r="546" spans="8:12">
      <c r="H546" s="3" t="s">
        <v>1430</v>
      </c>
      <c r="I546" s="4" t="s">
        <v>1431</v>
      </c>
      <c r="J546" s="4" t="s">
        <v>183</v>
      </c>
      <c r="K546" s="4" t="s">
        <v>183</v>
      </c>
      <c r="L546" s="4" t="s">
        <v>183</v>
      </c>
    </row>
    <row r="547" spans="8:12">
      <c r="H547" s="3" t="s">
        <v>1432</v>
      </c>
      <c r="I547" s="4" t="s">
        <v>1433</v>
      </c>
      <c r="J547" s="4" t="s">
        <v>183</v>
      </c>
      <c r="K547" s="4" t="s">
        <v>183</v>
      </c>
      <c r="L547" s="4" t="s">
        <v>183</v>
      </c>
    </row>
    <row r="548" spans="8:12">
      <c r="H548" s="3" t="s">
        <v>1434</v>
      </c>
      <c r="I548" s="4" t="s">
        <v>1435</v>
      </c>
      <c r="J548" s="4" t="s">
        <v>183</v>
      </c>
      <c r="K548" s="4" t="s">
        <v>183</v>
      </c>
      <c r="L548" s="4" t="s">
        <v>183</v>
      </c>
    </row>
    <row r="549" spans="8:12">
      <c r="H549" s="3" t="s">
        <v>1436</v>
      </c>
      <c r="I549" s="4" t="s">
        <v>1437</v>
      </c>
      <c r="J549" s="4" t="s">
        <v>183</v>
      </c>
      <c r="K549" s="4" t="s">
        <v>183</v>
      </c>
      <c r="L549" s="4" t="s">
        <v>183</v>
      </c>
    </row>
    <row r="550" spans="8:12">
      <c r="H550" s="3" t="s">
        <v>1438</v>
      </c>
      <c r="I550" s="4" t="s">
        <v>1439</v>
      </c>
      <c r="J550" s="4" t="s">
        <v>183</v>
      </c>
      <c r="K550" s="4" t="s">
        <v>183</v>
      </c>
      <c r="L550" s="4" t="s">
        <v>183</v>
      </c>
    </row>
    <row r="551" spans="8:12">
      <c r="H551" s="3" t="s">
        <v>1440</v>
      </c>
      <c r="I551" s="4" t="s">
        <v>1441</v>
      </c>
      <c r="J551" s="4" t="s">
        <v>183</v>
      </c>
      <c r="K551" s="4" t="s">
        <v>183</v>
      </c>
      <c r="L551" s="4" t="s">
        <v>183</v>
      </c>
    </row>
    <row r="552" spans="8:12">
      <c r="H552" s="3" t="s">
        <v>1442</v>
      </c>
      <c r="I552" s="4" t="s">
        <v>1443</v>
      </c>
      <c r="J552" s="4" t="s">
        <v>183</v>
      </c>
      <c r="K552" s="4" t="s">
        <v>183</v>
      </c>
      <c r="L552" s="4" t="s">
        <v>183</v>
      </c>
    </row>
    <row r="553" spans="8:12">
      <c r="H553" s="3" t="s">
        <v>1444</v>
      </c>
      <c r="I553" s="4" t="s">
        <v>1445</v>
      </c>
      <c r="J553" s="4" t="s">
        <v>183</v>
      </c>
      <c r="K553" s="4" t="s">
        <v>183</v>
      </c>
      <c r="L553" s="4" t="s">
        <v>183</v>
      </c>
    </row>
    <row r="554" spans="8:12">
      <c r="H554" s="3" t="s">
        <v>1446</v>
      </c>
      <c r="I554" s="4" t="s">
        <v>1447</v>
      </c>
      <c r="J554" s="4" t="s">
        <v>183</v>
      </c>
      <c r="K554" s="4" t="s">
        <v>183</v>
      </c>
      <c r="L554" s="4" t="s">
        <v>183</v>
      </c>
    </row>
    <row r="555" spans="8:12">
      <c r="H555" s="3" t="s">
        <v>1448</v>
      </c>
      <c r="I555" s="4" t="s">
        <v>1449</v>
      </c>
      <c r="J555" s="4" t="s">
        <v>183</v>
      </c>
      <c r="K555" s="4" t="s">
        <v>183</v>
      </c>
      <c r="L555" s="4" t="s">
        <v>183</v>
      </c>
    </row>
    <row r="556" spans="8:12">
      <c r="H556" s="3" t="s">
        <v>1450</v>
      </c>
      <c r="I556" s="4" t="s">
        <v>1451</v>
      </c>
      <c r="J556" s="4" t="s">
        <v>183</v>
      </c>
      <c r="K556" s="4" t="s">
        <v>183</v>
      </c>
      <c r="L556" s="4" t="s">
        <v>183</v>
      </c>
    </row>
    <row r="557" spans="8:12">
      <c r="H557" s="3" t="s">
        <v>1452</v>
      </c>
      <c r="I557" s="4" t="s">
        <v>1453</v>
      </c>
      <c r="J557" s="4" t="s">
        <v>183</v>
      </c>
      <c r="K557" s="4" t="s">
        <v>183</v>
      </c>
      <c r="L557" s="4" t="s">
        <v>183</v>
      </c>
    </row>
    <row r="558" spans="8:12">
      <c r="H558" s="3" t="s">
        <v>1454</v>
      </c>
      <c r="I558" s="4" t="s">
        <v>1455</v>
      </c>
      <c r="J558" s="4" t="s">
        <v>183</v>
      </c>
      <c r="K558" s="4" t="s">
        <v>183</v>
      </c>
      <c r="L558" s="4" t="s">
        <v>183</v>
      </c>
    </row>
    <row r="559" spans="8:12">
      <c r="H559" s="3" t="s">
        <v>1456</v>
      </c>
      <c r="I559" s="4" t="s">
        <v>1457</v>
      </c>
      <c r="J559" s="4" t="s">
        <v>183</v>
      </c>
      <c r="K559" s="4" t="s">
        <v>183</v>
      </c>
      <c r="L559" s="4" t="s">
        <v>183</v>
      </c>
    </row>
    <row r="560" spans="8:12">
      <c r="H560" s="3" t="s">
        <v>1458</v>
      </c>
      <c r="I560" s="4" t="s">
        <v>1459</v>
      </c>
      <c r="J560" s="4" t="s">
        <v>183</v>
      </c>
      <c r="K560" s="4" t="s">
        <v>183</v>
      </c>
      <c r="L560" s="4" t="s">
        <v>183</v>
      </c>
    </row>
    <row r="561" spans="8:12">
      <c r="H561" s="3" t="s">
        <v>1460</v>
      </c>
      <c r="I561" s="4" t="s">
        <v>1461</v>
      </c>
      <c r="J561" s="4" t="s">
        <v>183</v>
      </c>
      <c r="K561" s="4" t="s">
        <v>183</v>
      </c>
      <c r="L561" s="4" t="s">
        <v>183</v>
      </c>
    </row>
    <row r="562" spans="8:12">
      <c r="H562" s="3" t="s">
        <v>1462</v>
      </c>
      <c r="I562" s="4" t="s">
        <v>1463</v>
      </c>
      <c r="J562" s="4" t="s">
        <v>183</v>
      </c>
      <c r="K562" s="4" t="s">
        <v>183</v>
      </c>
      <c r="L562" s="4" t="s">
        <v>183</v>
      </c>
    </row>
    <row r="563" spans="8:12">
      <c r="H563" s="3" t="s">
        <v>1464</v>
      </c>
      <c r="I563" s="4" t="s">
        <v>1465</v>
      </c>
      <c r="J563" s="4" t="s">
        <v>183</v>
      </c>
      <c r="K563" s="4" t="s">
        <v>183</v>
      </c>
      <c r="L563" s="4" t="s">
        <v>183</v>
      </c>
    </row>
    <row r="564" spans="8:12">
      <c r="H564" s="3" t="s">
        <v>1466</v>
      </c>
      <c r="I564" s="4" t="s">
        <v>1467</v>
      </c>
      <c r="J564" s="4" t="s">
        <v>183</v>
      </c>
      <c r="K564" s="4" t="s">
        <v>183</v>
      </c>
      <c r="L564" s="4" t="s">
        <v>183</v>
      </c>
    </row>
    <row r="565" spans="8:12">
      <c r="H565" s="3" t="s">
        <v>1468</v>
      </c>
      <c r="I565" s="4" t="s">
        <v>1469</v>
      </c>
      <c r="J565" s="4" t="s">
        <v>183</v>
      </c>
      <c r="K565" s="4" t="s">
        <v>183</v>
      </c>
      <c r="L565" s="4" t="s">
        <v>183</v>
      </c>
    </row>
    <row r="566" spans="8:12">
      <c r="H566" s="3" t="s">
        <v>1470</v>
      </c>
      <c r="I566" s="4" t="s">
        <v>1471</v>
      </c>
      <c r="J566" s="4" t="s">
        <v>183</v>
      </c>
      <c r="K566" s="4" t="s">
        <v>183</v>
      </c>
      <c r="L566" s="4" t="s">
        <v>183</v>
      </c>
    </row>
    <row r="567" spans="8:12">
      <c r="H567" s="3" t="s">
        <v>1472</v>
      </c>
      <c r="I567" s="4" t="s">
        <v>1473</v>
      </c>
      <c r="J567" s="4" t="s">
        <v>183</v>
      </c>
      <c r="K567" s="4" t="s">
        <v>183</v>
      </c>
      <c r="L567" s="4" t="s">
        <v>183</v>
      </c>
    </row>
    <row r="568" spans="8:12">
      <c r="H568" s="3" t="s">
        <v>1474</v>
      </c>
      <c r="I568" s="4" t="s">
        <v>1475</v>
      </c>
      <c r="J568" s="4" t="s">
        <v>183</v>
      </c>
      <c r="K568" s="4" t="s">
        <v>183</v>
      </c>
      <c r="L568" s="4" t="s">
        <v>183</v>
      </c>
    </row>
    <row r="569" spans="8:12">
      <c r="H569" s="3" t="s">
        <v>1476</v>
      </c>
      <c r="I569" s="4" t="s">
        <v>1477</v>
      </c>
      <c r="J569" s="4" t="s">
        <v>183</v>
      </c>
      <c r="K569" s="4" t="s">
        <v>183</v>
      </c>
      <c r="L569" s="4" t="s">
        <v>183</v>
      </c>
    </row>
    <row r="570" spans="8:12">
      <c r="H570" s="3" t="s">
        <v>1478</v>
      </c>
      <c r="I570" s="4" t="s">
        <v>1479</v>
      </c>
      <c r="J570" s="4" t="s">
        <v>183</v>
      </c>
      <c r="K570" s="4" t="s">
        <v>183</v>
      </c>
      <c r="L570" s="4" t="s">
        <v>183</v>
      </c>
    </row>
    <row r="571" spans="8:12">
      <c r="H571" s="3" t="s">
        <v>1480</v>
      </c>
      <c r="I571" s="4" t="s">
        <v>1481</v>
      </c>
      <c r="J571" s="4" t="s">
        <v>183</v>
      </c>
      <c r="K571" s="4" t="s">
        <v>183</v>
      </c>
      <c r="L571" s="4" t="s">
        <v>183</v>
      </c>
    </row>
    <row r="572" spans="8:12">
      <c r="H572" s="3" t="s">
        <v>1482</v>
      </c>
      <c r="I572" s="4" t="s">
        <v>1483</v>
      </c>
      <c r="J572" s="4" t="s">
        <v>183</v>
      </c>
      <c r="K572" s="4" t="s">
        <v>183</v>
      </c>
      <c r="L572" s="4" t="s">
        <v>183</v>
      </c>
    </row>
    <row r="573" spans="8:12">
      <c r="H573" s="3" t="s">
        <v>1484</v>
      </c>
      <c r="I573" s="4" t="s">
        <v>1485</v>
      </c>
      <c r="J573" s="4" t="s">
        <v>183</v>
      </c>
      <c r="K573" s="4" t="s">
        <v>183</v>
      </c>
      <c r="L573" s="4" t="s">
        <v>183</v>
      </c>
    </row>
    <row r="574" spans="8:12">
      <c r="H574" s="3" t="s">
        <v>1486</v>
      </c>
      <c r="I574" s="4" t="s">
        <v>1487</v>
      </c>
      <c r="J574" s="4" t="s">
        <v>183</v>
      </c>
      <c r="K574" s="4" t="s">
        <v>183</v>
      </c>
      <c r="L574" s="4" t="s">
        <v>183</v>
      </c>
    </row>
    <row r="575" spans="8:12">
      <c r="H575" s="3" t="s">
        <v>1488</v>
      </c>
      <c r="I575" s="4" t="s">
        <v>1489</v>
      </c>
      <c r="J575" s="4" t="s">
        <v>183</v>
      </c>
      <c r="K575" s="4" t="s">
        <v>183</v>
      </c>
      <c r="L575" s="4" t="s">
        <v>183</v>
      </c>
    </row>
    <row r="576" spans="8:12">
      <c r="H576" s="3" t="s">
        <v>1490</v>
      </c>
      <c r="I576" s="4" t="s">
        <v>1491</v>
      </c>
      <c r="J576" s="4" t="s">
        <v>183</v>
      </c>
      <c r="K576" s="4" t="s">
        <v>183</v>
      </c>
      <c r="L576" s="4" t="s">
        <v>183</v>
      </c>
    </row>
    <row r="577" spans="8:12">
      <c r="H577" s="3" t="s">
        <v>1492</v>
      </c>
      <c r="I577" s="4" t="s">
        <v>1493</v>
      </c>
      <c r="J577" s="4" t="s">
        <v>183</v>
      </c>
      <c r="K577" s="4" t="s">
        <v>183</v>
      </c>
      <c r="L577" s="4" t="s">
        <v>183</v>
      </c>
    </row>
    <row r="578" spans="8:12">
      <c r="H578" s="3" t="s">
        <v>1494</v>
      </c>
      <c r="I578" s="4" t="s">
        <v>1495</v>
      </c>
      <c r="J578" s="4" t="s">
        <v>183</v>
      </c>
      <c r="K578" s="4" t="s">
        <v>183</v>
      </c>
      <c r="L578" s="4" t="s">
        <v>183</v>
      </c>
    </row>
    <row r="579" spans="8:12">
      <c r="H579" s="3" t="s">
        <v>1496</v>
      </c>
      <c r="I579" s="4" t="s">
        <v>1497</v>
      </c>
      <c r="J579" s="4" t="s">
        <v>183</v>
      </c>
      <c r="K579" s="4" t="s">
        <v>183</v>
      </c>
      <c r="L579" s="4" t="s">
        <v>183</v>
      </c>
    </row>
    <row r="580" spans="8:12">
      <c r="H580" s="3" t="s">
        <v>1498</v>
      </c>
      <c r="I580" s="4" t="s">
        <v>1499</v>
      </c>
      <c r="J580" s="4" t="s">
        <v>183</v>
      </c>
      <c r="K580" s="4" t="s">
        <v>183</v>
      </c>
      <c r="L580" s="4" t="s">
        <v>183</v>
      </c>
    </row>
    <row r="581" spans="8:12">
      <c r="H581" s="3" t="s">
        <v>1500</v>
      </c>
      <c r="I581" s="4" t="s">
        <v>1501</v>
      </c>
      <c r="J581" s="4" t="s">
        <v>183</v>
      </c>
      <c r="K581" s="4" t="s">
        <v>183</v>
      </c>
      <c r="L581" s="4" t="s">
        <v>183</v>
      </c>
    </row>
    <row r="582" spans="8:12">
      <c r="H582" s="3" t="s">
        <v>1502</v>
      </c>
      <c r="I582" s="4" t="s">
        <v>1503</v>
      </c>
      <c r="J582" s="4" t="s">
        <v>183</v>
      </c>
      <c r="K582" s="4" t="s">
        <v>183</v>
      </c>
      <c r="L582" s="4" t="s">
        <v>183</v>
      </c>
    </row>
    <row r="583" spans="8:12">
      <c r="H583" s="3">
        <v>50530</v>
      </c>
      <c r="I583" s="4" t="s">
        <v>1504</v>
      </c>
      <c r="J583" s="4" t="s">
        <v>183</v>
      </c>
      <c r="K583" s="4" t="s">
        <v>183</v>
      </c>
      <c r="L583" s="4" t="s">
        <v>183</v>
      </c>
    </row>
    <row r="584" spans="8:12">
      <c r="H584" s="3" t="s">
        <v>1505</v>
      </c>
      <c r="I584" s="4" t="s">
        <v>1506</v>
      </c>
      <c r="J584" s="4" t="s">
        <v>183</v>
      </c>
      <c r="K584" s="4" t="s">
        <v>183</v>
      </c>
      <c r="L584" s="4" t="s">
        <v>183</v>
      </c>
    </row>
    <row r="585" spans="8:12">
      <c r="H585" s="3" t="s">
        <v>1507</v>
      </c>
      <c r="I585" s="4" t="s">
        <v>1508</v>
      </c>
      <c r="J585" s="4" t="s">
        <v>183</v>
      </c>
      <c r="K585" s="4" t="s">
        <v>183</v>
      </c>
      <c r="L585" s="4" t="s">
        <v>183</v>
      </c>
    </row>
    <row r="586" spans="8:12">
      <c r="H586" s="3" t="s">
        <v>1509</v>
      </c>
      <c r="I586" s="4" t="s">
        <v>1510</v>
      </c>
      <c r="J586" s="4" t="s">
        <v>183</v>
      </c>
      <c r="K586" s="4" t="s">
        <v>183</v>
      </c>
      <c r="L586" s="4" t="s">
        <v>183</v>
      </c>
    </row>
    <row r="587" spans="8:12">
      <c r="H587" s="3" t="s">
        <v>1511</v>
      </c>
      <c r="I587" s="4" t="s">
        <v>1512</v>
      </c>
      <c r="J587" s="4" t="s">
        <v>183</v>
      </c>
      <c r="K587" s="4" t="s">
        <v>183</v>
      </c>
      <c r="L587" s="4" t="s">
        <v>183</v>
      </c>
    </row>
    <row r="588" spans="8:12">
      <c r="H588" s="3" t="s">
        <v>1513</v>
      </c>
      <c r="I588" s="4" t="s">
        <v>1514</v>
      </c>
      <c r="J588" s="4" t="s">
        <v>183</v>
      </c>
      <c r="K588" s="4" t="s">
        <v>183</v>
      </c>
      <c r="L588" s="4" t="s">
        <v>183</v>
      </c>
    </row>
    <row r="589" spans="8:12">
      <c r="H589" s="3" t="s">
        <v>1515</v>
      </c>
      <c r="I589" s="4" t="s">
        <v>1516</v>
      </c>
      <c r="J589" s="4" t="s">
        <v>183</v>
      </c>
      <c r="K589" s="4" t="s">
        <v>183</v>
      </c>
      <c r="L589" s="4" t="s">
        <v>183</v>
      </c>
    </row>
    <row r="590" spans="8:12">
      <c r="H590" s="3" t="s">
        <v>1517</v>
      </c>
      <c r="I590" s="4" t="s">
        <v>1518</v>
      </c>
      <c r="J590" s="4" t="s">
        <v>183</v>
      </c>
      <c r="K590" s="4" t="s">
        <v>183</v>
      </c>
      <c r="L590" s="4" t="s">
        <v>183</v>
      </c>
    </row>
    <row r="591" spans="8:12">
      <c r="H591" s="3" t="s">
        <v>1519</v>
      </c>
      <c r="I591" s="4" t="s">
        <v>1520</v>
      </c>
      <c r="J591" s="4" t="s">
        <v>183</v>
      </c>
      <c r="K591" s="4" t="s">
        <v>183</v>
      </c>
      <c r="L591" s="4" t="s">
        <v>183</v>
      </c>
    </row>
    <row r="592" spans="8:12">
      <c r="H592" s="3" t="s">
        <v>1521</v>
      </c>
      <c r="I592" s="4" t="s">
        <v>1522</v>
      </c>
      <c r="J592" s="4" t="s">
        <v>183</v>
      </c>
      <c r="K592" s="4" t="s">
        <v>183</v>
      </c>
      <c r="L592" s="4" t="s">
        <v>183</v>
      </c>
    </row>
    <row r="593" spans="8:12">
      <c r="H593" s="3" t="s">
        <v>1523</v>
      </c>
      <c r="I593" s="4" t="s">
        <v>1524</v>
      </c>
      <c r="J593" s="4" t="s">
        <v>183</v>
      </c>
      <c r="K593" s="4" t="s">
        <v>183</v>
      </c>
      <c r="L593" s="4" t="s">
        <v>183</v>
      </c>
    </row>
    <row r="594" spans="8:12">
      <c r="H594" s="3" t="s">
        <v>1525</v>
      </c>
      <c r="I594" s="4" t="s">
        <v>1526</v>
      </c>
      <c r="J594" s="4" t="s">
        <v>183</v>
      </c>
      <c r="K594" s="4" t="s">
        <v>183</v>
      </c>
      <c r="L594" s="4" t="s">
        <v>183</v>
      </c>
    </row>
    <row r="595" spans="8:12">
      <c r="H595" s="3" t="s">
        <v>1527</v>
      </c>
      <c r="I595" s="4" t="s">
        <v>1528</v>
      </c>
      <c r="J595" s="4" t="s">
        <v>183</v>
      </c>
      <c r="K595" s="4" t="s">
        <v>183</v>
      </c>
      <c r="L595" s="4" t="s">
        <v>183</v>
      </c>
    </row>
    <row r="596" spans="8:12">
      <c r="H596" s="3" t="s">
        <v>1529</v>
      </c>
      <c r="I596" s="4" t="s">
        <v>1530</v>
      </c>
      <c r="J596" s="4" t="s">
        <v>183</v>
      </c>
      <c r="K596" s="4" t="s">
        <v>183</v>
      </c>
      <c r="L596" s="4" t="s">
        <v>183</v>
      </c>
    </row>
    <row r="597" spans="8:12">
      <c r="H597" s="3" t="s">
        <v>1531</v>
      </c>
      <c r="I597" s="4" t="s">
        <v>1532</v>
      </c>
      <c r="J597" s="4" t="s">
        <v>183</v>
      </c>
      <c r="K597" s="4" t="s">
        <v>183</v>
      </c>
      <c r="L597" s="4" t="s">
        <v>183</v>
      </c>
    </row>
    <row r="598" spans="8:12">
      <c r="H598" s="3" t="s">
        <v>1533</v>
      </c>
      <c r="I598" s="4" t="s">
        <v>1534</v>
      </c>
      <c r="J598" s="4" t="s">
        <v>183</v>
      </c>
      <c r="K598" s="4" t="s">
        <v>183</v>
      </c>
      <c r="L598" s="4" t="s">
        <v>183</v>
      </c>
    </row>
    <row r="599" spans="8:12">
      <c r="H599" s="3" t="s">
        <v>1535</v>
      </c>
      <c r="I599" s="4" t="s">
        <v>1536</v>
      </c>
      <c r="J599" s="4" t="s">
        <v>183</v>
      </c>
      <c r="K599" s="4" t="s">
        <v>183</v>
      </c>
      <c r="L599" s="4" t="s">
        <v>183</v>
      </c>
    </row>
    <row r="600" spans="8:12">
      <c r="H600" s="3" t="s">
        <v>1537</v>
      </c>
      <c r="I600" s="4" t="s">
        <v>1538</v>
      </c>
      <c r="J600" s="4" t="s">
        <v>183</v>
      </c>
      <c r="K600" s="4" t="s">
        <v>183</v>
      </c>
      <c r="L600" s="4" t="s">
        <v>183</v>
      </c>
    </row>
    <row r="601" spans="8:12">
      <c r="H601" s="3" t="s">
        <v>1539</v>
      </c>
      <c r="I601" s="4" t="s">
        <v>1540</v>
      </c>
      <c r="J601" s="4" t="s">
        <v>183</v>
      </c>
      <c r="K601" s="4" t="s">
        <v>183</v>
      </c>
      <c r="L601" s="4" t="s">
        <v>183</v>
      </c>
    </row>
    <row r="602" spans="8:12">
      <c r="H602" s="3" t="s">
        <v>1541</v>
      </c>
      <c r="I602" s="4" t="s">
        <v>1542</v>
      </c>
      <c r="J602" s="4" t="s">
        <v>183</v>
      </c>
      <c r="K602" s="4" t="s">
        <v>183</v>
      </c>
      <c r="L602" s="4" t="s">
        <v>183</v>
      </c>
    </row>
    <row r="603" spans="8:12">
      <c r="H603" s="3" t="s">
        <v>1543</v>
      </c>
      <c r="I603" s="4" t="s">
        <v>1544</v>
      </c>
      <c r="J603" s="4" t="s">
        <v>183</v>
      </c>
      <c r="K603" s="4" t="s">
        <v>183</v>
      </c>
      <c r="L603" s="4" t="s">
        <v>183</v>
      </c>
    </row>
    <row r="604" spans="8:12">
      <c r="H604" s="3" t="s">
        <v>1545</v>
      </c>
      <c r="I604" s="4" t="s">
        <v>1546</v>
      </c>
      <c r="J604" s="4" t="s">
        <v>183</v>
      </c>
      <c r="K604" s="4" t="s">
        <v>183</v>
      </c>
      <c r="L604" s="4" t="s">
        <v>183</v>
      </c>
    </row>
    <row r="605" spans="8:12">
      <c r="H605" s="3" t="s">
        <v>1547</v>
      </c>
      <c r="I605" s="4" t="s">
        <v>1548</v>
      </c>
      <c r="J605" s="4" t="s">
        <v>183</v>
      </c>
      <c r="K605" s="4" t="s">
        <v>183</v>
      </c>
      <c r="L605" s="4" t="s">
        <v>183</v>
      </c>
    </row>
    <row r="606" spans="8:12">
      <c r="H606" s="3" t="s">
        <v>1549</v>
      </c>
      <c r="I606" s="4" t="s">
        <v>1550</v>
      </c>
      <c r="J606" s="4" t="s">
        <v>183</v>
      </c>
      <c r="K606" s="4" t="s">
        <v>183</v>
      </c>
      <c r="L606" s="4" t="s">
        <v>183</v>
      </c>
    </row>
    <row r="607" spans="8:12">
      <c r="H607" s="3" t="s">
        <v>1551</v>
      </c>
      <c r="I607" s="4" t="s">
        <v>1552</v>
      </c>
      <c r="J607" s="4" t="s">
        <v>183</v>
      </c>
      <c r="K607" s="4" t="s">
        <v>183</v>
      </c>
      <c r="L607" s="4" t="s">
        <v>183</v>
      </c>
    </row>
    <row r="608" spans="8:12">
      <c r="H608" s="3" t="s">
        <v>1553</v>
      </c>
      <c r="I608" s="4" t="s">
        <v>1554</v>
      </c>
      <c r="J608" s="4" t="s">
        <v>183</v>
      </c>
      <c r="K608" s="4" t="s">
        <v>183</v>
      </c>
      <c r="L608" s="4" t="s">
        <v>183</v>
      </c>
    </row>
    <row r="609" spans="8:12">
      <c r="H609" s="3" t="s">
        <v>1555</v>
      </c>
      <c r="I609" s="4" t="s">
        <v>1556</v>
      </c>
      <c r="J609" s="4" t="s">
        <v>183</v>
      </c>
      <c r="K609" s="4" t="s">
        <v>183</v>
      </c>
      <c r="L609" s="4" t="s">
        <v>183</v>
      </c>
    </row>
    <row r="610" spans="8:12">
      <c r="H610" s="3" t="s">
        <v>1557</v>
      </c>
      <c r="I610" s="4" t="s">
        <v>1558</v>
      </c>
      <c r="J610" s="4" t="s">
        <v>183</v>
      </c>
      <c r="K610" s="4" t="s">
        <v>183</v>
      </c>
      <c r="L610" s="4" t="s">
        <v>183</v>
      </c>
    </row>
    <row r="611" spans="8:12">
      <c r="H611" s="3" t="s">
        <v>1559</v>
      </c>
      <c r="I611" s="4" t="s">
        <v>1560</v>
      </c>
      <c r="J611" s="4" t="s">
        <v>183</v>
      </c>
      <c r="K611" s="4" t="s">
        <v>183</v>
      </c>
      <c r="L611" s="4" t="s">
        <v>183</v>
      </c>
    </row>
    <row r="612" spans="8:12">
      <c r="H612" s="3" t="s">
        <v>1561</v>
      </c>
      <c r="I612" s="4" t="s">
        <v>1562</v>
      </c>
      <c r="J612" s="4" t="s">
        <v>183</v>
      </c>
      <c r="K612" s="4" t="s">
        <v>183</v>
      </c>
      <c r="L612" s="4" t="s">
        <v>183</v>
      </c>
    </row>
    <row r="613" spans="8:12">
      <c r="H613" s="3" t="s">
        <v>1563</v>
      </c>
      <c r="I613" s="4" t="s">
        <v>1564</v>
      </c>
      <c r="J613" s="4" t="s">
        <v>183</v>
      </c>
      <c r="K613" s="4" t="s">
        <v>183</v>
      </c>
      <c r="L613" s="4" t="s">
        <v>183</v>
      </c>
    </row>
    <row r="614" spans="8:12">
      <c r="H614" s="3" t="s">
        <v>1565</v>
      </c>
      <c r="I614" s="4" t="s">
        <v>1566</v>
      </c>
      <c r="J614" s="4" t="s">
        <v>183</v>
      </c>
      <c r="K614" s="4" t="s">
        <v>183</v>
      </c>
      <c r="L614" s="4" t="s">
        <v>183</v>
      </c>
    </row>
    <row r="615" spans="8:12">
      <c r="H615" s="3" t="s">
        <v>1567</v>
      </c>
      <c r="I615" s="4" t="s">
        <v>1568</v>
      </c>
      <c r="J615" s="4" t="s">
        <v>183</v>
      </c>
      <c r="K615" s="4" t="s">
        <v>183</v>
      </c>
      <c r="L615" s="4" t="s">
        <v>183</v>
      </c>
    </row>
    <row r="616" spans="8:12">
      <c r="H616" s="3" t="s">
        <v>1569</v>
      </c>
      <c r="I616" s="4" t="s">
        <v>1570</v>
      </c>
      <c r="J616" s="4" t="s">
        <v>183</v>
      </c>
      <c r="K616" s="4" t="s">
        <v>183</v>
      </c>
      <c r="L616" s="4" t="s">
        <v>183</v>
      </c>
    </row>
    <row r="617" spans="8:12">
      <c r="H617" s="3" t="s">
        <v>1571</v>
      </c>
      <c r="I617" s="4" t="s">
        <v>1572</v>
      </c>
      <c r="J617" s="4" t="s">
        <v>183</v>
      </c>
      <c r="K617" s="4" t="s">
        <v>183</v>
      </c>
      <c r="L617" s="4" t="s">
        <v>183</v>
      </c>
    </row>
    <row r="618" spans="8:12">
      <c r="H618" s="3" t="s">
        <v>1573</v>
      </c>
      <c r="I618" s="4" t="s">
        <v>1574</v>
      </c>
      <c r="J618" s="4" t="s">
        <v>183</v>
      </c>
      <c r="K618" s="4" t="s">
        <v>183</v>
      </c>
      <c r="L618" s="4" t="s">
        <v>183</v>
      </c>
    </row>
    <row r="619" spans="8:12">
      <c r="H619" s="3" t="s">
        <v>1575</v>
      </c>
      <c r="I619" s="4" t="s">
        <v>1576</v>
      </c>
      <c r="J619" s="4" t="s">
        <v>183</v>
      </c>
      <c r="K619" s="4" t="s">
        <v>183</v>
      </c>
      <c r="L619" s="4" t="s">
        <v>183</v>
      </c>
    </row>
    <row r="620" spans="8:12">
      <c r="H620" s="3" t="s">
        <v>1577</v>
      </c>
      <c r="I620" s="4" t="s">
        <v>1578</v>
      </c>
      <c r="J620" s="4" t="s">
        <v>183</v>
      </c>
      <c r="K620" s="4" t="s">
        <v>183</v>
      </c>
      <c r="L620" s="4" t="s">
        <v>183</v>
      </c>
    </row>
    <row r="621" spans="8:12">
      <c r="H621" s="3" t="s">
        <v>1579</v>
      </c>
      <c r="I621" s="4" t="s">
        <v>1580</v>
      </c>
      <c r="J621" s="4" t="s">
        <v>183</v>
      </c>
      <c r="K621" s="4" t="s">
        <v>183</v>
      </c>
      <c r="L621" s="4" t="s">
        <v>183</v>
      </c>
    </row>
    <row r="622" spans="8:12">
      <c r="H622" s="3" t="s">
        <v>1581</v>
      </c>
      <c r="I622" s="4" t="s">
        <v>1582</v>
      </c>
      <c r="J622" s="4" t="s">
        <v>183</v>
      </c>
      <c r="K622" s="4" t="s">
        <v>183</v>
      </c>
      <c r="L622" s="4" t="s">
        <v>183</v>
      </c>
    </row>
    <row r="623" spans="8:12">
      <c r="H623" s="3" t="s">
        <v>1583</v>
      </c>
      <c r="I623" s="4" t="s">
        <v>1584</v>
      </c>
      <c r="J623" s="4" t="s">
        <v>183</v>
      </c>
      <c r="K623" s="4" t="s">
        <v>183</v>
      </c>
      <c r="L623" s="4" t="s">
        <v>183</v>
      </c>
    </row>
    <row r="624" spans="8:12">
      <c r="H624" s="3" t="s">
        <v>1585</v>
      </c>
      <c r="I624" s="4" t="s">
        <v>1586</v>
      </c>
      <c r="J624" s="4" t="s">
        <v>183</v>
      </c>
      <c r="K624" s="4" t="s">
        <v>183</v>
      </c>
      <c r="L624" s="4" t="s">
        <v>183</v>
      </c>
    </row>
    <row r="625" spans="8:12">
      <c r="H625" s="3" t="s">
        <v>1587</v>
      </c>
      <c r="I625" s="4" t="s">
        <v>1588</v>
      </c>
      <c r="J625" s="4" t="s">
        <v>183</v>
      </c>
      <c r="K625" s="4" t="s">
        <v>183</v>
      </c>
      <c r="L625" s="4" t="s">
        <v>183</v>
      </c>
    </row>
    <row r="626" spans="8:12">
      <c r="H626" s="3" t="s">
        <v>1589</v>
      </c>
      <c r="I626" s="4" t="s">
        <v>1590</v>
      </c>
      <c r="J626" s="4" t="s">
        <v>183</v>
      </c>
      <c r="K626" s="4" t="s">
        <v>183</v>
      </c>
      <c r="L626" s="4" t="s">
        <v>183</v>
      </c>
    </row>
    <row r="627" spans="8:12">
      <c r="H627" s="3" t="s">
        <v>1591</v>
      </c>
      <c r="I627" s="4" t="s">
        <v>1592</v>
      </c>
      <c r="J627" s="4" t="s">
        <v>183</v>
      </c>
      <c r="K627" s="4" t="s">
        <v>183</v>
      </c>
      <c r="L627" s="4" t="s">
        <v>183</v>
      </c>
    </row>
    <row r="628" spans="8:12">
      <c r="H628" s="3" t="s">
        <v>1593</v>
      </c>
      <c r="I628" s="4" t="s">
        <v>1594</v>
      </c>
      <c r="J628" s="4" t="s">
        <v>183</v>
      </c>
      <c r="K628" s="4" t="s">
        <v>183</v>
      </c>
      <c r="L628" s="4" t="s">
        <v>183</v>
      </c>
    </row>
    <row r="629" spans="8:12">
      <c r="H629" s="3" t="s">
        <v>1595</v>
      </c>
      <c r="I629" s="4" t="s">
        <v>1596</v>
      </c>
      <c r="J629" s="4" t="s">
        <v>183</v>
      </c>
      <c r="K629" s="4" t="s">
        <v>183</v>
      </c>
      <c r="L629" s="4" t="s">
        <v>183</v>
      </c>
    </row>
    <row r="630" spans="8:12">
      <c r="H630" s="3" t="s">
        <v>1597</v>
      </c>
      <c r="I630" s="4" t="s">
        <v>1598</v>
      </c>
      <c r="J630" s="4" t="s">
        <v>183</v>
      </c>
      <c r="K630" s="4" t="s">
        <v>183</v>
      </c>
      <c r="L630" s="4" t="s">
        <v>183</v>
      </c>
    </row>
    <row r="631" spans="8:12">
      <c r="H631" s="3" t="s">
        <v>1599</v>
      </c>
      <c r="I631" s="4" t="s">
        <v>1600</v>
      </c>
      <c r="J631" s="4" t="s">
        <v>183</v>
      </c>
      <c r="K631" s="4" t="s">
        <v>183</v>
      </c>
      <c r="L631" s="4" t="s">
        <v>183</v>
      </c>
    </row>
    <row r="632" spans="8:12">
      <c r="H632" s="3" t="s">
        <v>1601</v>
      </c>
      <c r="I632" s="4" t="s">
        <v>1602</v>
      </c>
      <c r="J632" s="4" t="s">
        <v>183</v>
      </c>
      <c r="K632" s="4" t="s">
        <v>183</v>
      </c>
      <c r="L632" s="4" t="s">
        <v>183</v>
      </c>
    </row>
    <row r="633" spans="8:12">
      <c r="H633" s="3" t="s">
        <v>1603</v>
      </c>
      <c r="I633" s="4" t="s">
        <v>1604</v>
      </c>
      <c r="J633" s="4" t="s">
        <v>183</v>
      </c>
      <c r="K633" s="4" t="s">
        <v>183</v>
      </c>
      <c r="L633" s="4" t="s">
        <v>183</v>
      </c>
    </row>
    <row r="634" spans="8:12">
      <c r="H634" s="3" t="s">
        <v>1605</v>
      </c>
      <c r="I634" s="4" t="s">
        <v>1606</v>
      </c>
      <c r="J634" s="4" t="s">
        <v>183</v>
      </c>
      <c r="K634" s="4" t="s">
        <v>183</v>
      </c>
      <c r="L634" s="4" t="s">
        <v>183</v>
      </c>
    </row>
    <row r="635" spans="8:12">
      <c r="H635" s="3" t="s">
        <v>1607</v>
      </c>
      <c r="I635" s="4" t="s">
        <v>1608</v>
      </c>
      <c r="J635" s="4" t="s">
        <v>183</v>
      </c>
      <c r="K635" s="4" t="s">
        <v>183</v>
      </c>
      <c r="L635" s="4" t="s">
        <v>183</v>
      </c>
    </row>
    <row r="636" spans="8:12">
      <c r="H636" s="3" t="s">
        <v>1609</v>
      </c>
      <c r="I636" s="4" t="s">
        <v>1610</v>
      </c>
      <c r="J636" s="4" t="s">
        <v>183</v>
      </c>
      <c r="K636" s="4" t="s">
        <v>183</v>
      </c>
      <c r="L636" s="4" t="s">
        <v>183</v>
      </c>
    </row>
    <row r="637" spans="8:12">
      <c r="H637" s="3" t="s">
        <v>1611</v>
      </c>
      <c r="I637" s="4" t="s">
        <v>1612</v>
      </c>
      <c r="J637" s="4" t="s">
        <v>183</v>
      </c>
      <c r="K637" s="4" t="s">
        <v>183</v>
      </c>
      <c r="L637" s="4" t="s">
        <v>183</v>
      </c>
    </row>
    <row r="638" spans="8:12">
      <c r="H638" s="3" t="s">
        <v>1613</v>
      </c>
      <c r="I638" s="4" t="s">
        <v>1614</v>
      </c>
      <c r="J638" s="4" t="s">
        <v>183</v>
      </c>
      <c r="K638" s="4" t="s">
        <v>183</v>
      </c>
      <c r="L638" s="4" t="s">
        <v>183</v>
      </c>
    </row>
    <row r="639" spans="8:12">
      <c r="H639" s="3" t="s">
        <v>1615</v>
      </c>
      <c r="I639" s="4" t="s">
        <v>1616</v>
      </c>
      <c r="J639" s="4" t="s">
        <v>183</v>
      </c>
      <c r="K639" s="4" t="s">
        <v>183</v>
      </c>
      <c r="L639" s="4" t="s">
        <v>183</v>
      </c>
    </row>
    <row r="640" spans="8:12">
      <c r="H640" s="3" t="s">
        <v>1617</v>
      </c>
      <c r="I640" s="4" t="s">
        <v>1618</v>
      </c>
      <c r="J640" s="4" t="s">
        <v>183</v>
      </c>
      <c r="K640" s="4" t="s">
        <v>183</v>
      </c>
      <c r="L640" s="4" t="s">
        <v>183</v>
      </c>
    </row>
    <row r="641" spans="8:12">
      <c r="H641" s="3" t="s">
        <v>1619</v>
      </c>
      <c r="I641" s="4" t="s">
        <v>1620</v>
      </c>
      <c r="J641" s="4" t="s">
        <v>183</v>
      </c>
      <c r="K641" s="4" t="s">
        <v>183</v>
      </c>
      <c r="L641" s="4" t="s">
        <v>183</v>
      </c>
    </row>
    <row r="642" spans="8:12">
      <c r="H642" s="3" t="s">
        <v>1621</v>
      </c>
      <c r="I642" s="4" t="s">
        <v>1622</v>
      </c>
      <c r="J642" s="4" t="s">
        <v>183</v>
      </c>
      <c r="K642" s="4" t="s">
        <v>183</v>
      </c>
      <c r="L642" s="4" t="s">
        <v>183</v>
      </c>
    </row>
    <row r="643" spans="8:12">
      <c r="H643" s="3" t="s">
        <v>1623</v>
      </c>
      <c r="I643" s="4" t="s">
        <v>1624</v>
      </c>
      <c r="J643" s="4" t="s">
        <v>183</v>
      </c>
      <c r="K643" s="4" t="s">
        <v>183</v>
      </c>
      <c r="L643" s="4" t="s">
        <v>183</v>
      </c>
    </row>
    <row r="644" spans="8:12">
      <c r="H644" s="3" t="s">
        <v>1625</v>
      </c>
      <c r="I644" s="4" t="s">
        <v>1626</v>
      </c>
      <c r="J644" s="4" t="s">
        <v>183</v>
      </c>
      <c r="K644" s="4" t="s">
        <v>183</v>
      </c>
      <c r="L644" s="4" t="s">
        <v>183</v>
      </c>
    </row>
    <row r="645" spans="8:12">
      <c r="H645" s="3" t="s">
        <v>1627</v>
      </c>
      <c r="I645" s="4" t="s">
        <v>1628</v>
      </c>
      <c r="J645" s="4" t="s">
        <v>183</v>
      </c>
      <c r="K645" s="4" t="s">
        <v>183</v>
      </c>
      <c r="L645" s="4" t="s">
        <v>183</v>
      </c>
    </row>
    <row r="646" spans="8:12">
      <c r="H646" s="3" t="s">
        <v>1629</v>
      </c>
      <c r="I646" s="4" t="s">
        <v>1630</v>
      </c>
      <c r="J646" s="4" t="s">
        <v>183</v>
      </c>
      <c r="K646" s="4" t="s">
        <v>183</v>
      </c>
      <c r="L646" s="4" t="s">
        <v>183</v>
      </c>
    </row>
    <row r="647" spans="8:12">
      <c r="H647" s="3" t="s">
        <v>1631</v>
      </c>
      <c r="I647" s="4" t="s">
        <v>1632</v>
      </c>
      <c r="J647" s="4" t="s">
        <v>183</v>
      </c>
      <c r="K647" s="4" t="s">
        <v>183</v>
      </c>
      <c r="L647" s="4" t="s">
        <v>183</v>
      </c>
    </row>
    <row r="648" spans="8:12">
      <c r="H648" s="3" t="s">
        <v>1633</v>
      </c>
      <c r="I648" s="4" t="s">
        <v>1634</v>
      </c>
      <c r="J648" s="4" t="s">
        <v>183</v>
      </c>
      <c r="K648" s="4" t="s">
        <v>183</v>
      </c>
      <c r="L648" s="4" t="s">
        <v>183</v>
      </c>
    </row>
    <row r="649" spans="8:12">
      <c r="H649" s="3" t="s">
        <v>1635</v>
      </c>
      <c r="I649" s="4" t="s">
        <v>1636</v>
      </c>
      <c r="J649" s="4" t="s">
        <v>183</v>
      </c>
      <c r="K649" s="4" t="s">
        <v>183</v>
      </c>
      <c r="L649" s="4" t="s">
        <v>183</v>
      </c>
    </row>
    <row r="650" spans="8:12">
      <c r="H650" s="3" t="s">
        <v>1637</v>
      </c>
      <c r="I650" s="4" t="s">
        <v>1638</v>
      </c>
      <c r="J650" s="4" t="s">
        <v>183</v>
      </c>
      <c r="K650" s="4" t="s">
        <v>183</v>
      </c>
      <c r="L650" s="4" t="s">
        <v>183</v>
      </c>
    </row>
    <row r="651" spans="8:12">
      <c r="H651" s="3" t="s">
        <v>1639</v>
      </c>
      <c r="I651" s="4" t="s">
        <v>1640</v>
      </c>
      <c r="J651" s="4" t="s">
        <v>183</v>
      </c>
      <c r="K651" s="4" t="s">
        <v>183</v>
      </c>
      <c r="L651" s="4" t="s">
        <v>183</v>
      </c>
    </row>
    <row r="652" spans="8:12">
      <c r="H652" s="3" t="s">
        <v>1641</v>
      </c>
      <c r="I652" s="4" t="s">
        <v>1642</v>
      </c>
      <c r="J652" s="4" t="s">
        <v>183</v>
      </c>
      <c r="K652" s="4" t="s">
        <v>183</v>
      </c>
      <c r="L652" s="4" t="s">
        <v>183</v>
      </c>
    </row>
    <row r="653" spans="8:12">
      <c r="H653" s="3" t="s">
        <v>1643</v>
      </c>
      <c r="I653" s="4" t="s">
        <v>1644</v>
      </c>
      <c r="J653" s="4" t="s">
        <v>183</v>
      </c>
      <c r="K653" s="4" t="s">
        <v>183</v>
      </c>
      <c r="L653" s="4" t="s">
        <v>183</v>
      </c>
    </row>
    <row r="654" spans="8:12">
      <c r="H654" s="3" t="s">
        <v>1645</v>
      </c>
      <c r="I654" s="4" t="s">
        <v>1646</v>
      </c>
      <c r="J654" s="4" t="s">
        <v>183</v>
      </c>
      <c r="K654" s="4" t="s">
        <v>183</v>
      </c>
      <c r="L654" s="4" t="s">
        <v>183</v>
      </c>
    </row>
    <row r="655" spans="8:12">
      <c r="H655" s="3" t="s">
        <v>1647</v>
      </c>
      <c r="I655" s="4" t="s">
        <v>1648</v>
      </c>
      <c r="J655" s="4" t="s">
        <v>183</v>
      </c>
      <c r="K655" s="4" t="s">
        <v>183</v>
      </c>
      <c r="L655" s="4" t="s">
        <v>183</v>
      </c>
    </row>
    <row r="656" spans="8:12">
      <c r="H656" s="3" t="s">
        <v>1649</v>
      </c>
      <c r="I656" s="4" t="s">
        <v>1650</v>
      </c>
      <c r="J656" s="4" t="s">
        <v>183</v>
      </c>
      <c r="K656" s="4" t="s">
        <v>183</v>
      </c>
      <c r="L656" s="4" t="s">
        <v>183</v>
      </c>
    </row>
    <row r="657" spans="8:12">
      <c r="H657" s="3" t="s">
        <v>1651</v>
      </c>
      <c r="I657" s="4" t="s">
        <v>1652</v>
      </c>
      <c r="J657" s="4" t="s">
        <v>183</v>
      </c>
      <c r="K657" s="4" t="s">
        <v>183</v>
      </c>
      <c r="L657" s="4" t="s">
        <v>183</v>
      </c>
    </row>
    <row r="658" spans="8:12">
      <c r="H658" s="3" t="s">
        <v>1653</v>
      </c>
      <c r="I658" s="4" t="s">
        <v>1654</v>
      </c>
      <c r="J658" s="4" t="s">
        <v>183</v>
      </c>
      <c r="K658" s="4" t="s">
        <v>183</v>
      </c>
      <c r="L658" s="4" t="s">
        <v>183</v>
      </c>
    </row>
    <row r="659" spans="8:12">
      <c r="H659" s="3" t="s">
        <v>1655</v>
      </c>
      <c r="I659" s="4" t="s">
        <v>1656</v>
      </c>
      <c r="J659" s="4" t="s">
        <v>183</v>
      </c>
      <c r="K659" s="4" t="s">
        <v>183</v>
      </c>
      <c r="L659" s="4" t="s">
        <v>183</v>
      </c>
    </row>
    <row r="660" spans="8:12">
      <c r="H660" s="3" t="s">
        <v>1657</v>
      </c>
      <c r="I660" s="4" t="s">
        <v>1658</v>
      </c>
      <c r="J660" s="4" t="s">
        <v>183</v>
      </c>
      <c r="K660" s="4" t="s">
        <v>183</v>
      </c>
      <c r="L660" s="4" t="s">
        <v>183</v>
      </c>
    </row>
    <row r="661" spans="8:12">
      <c r="H661" s="3" t="s">
        <v>1659</v>
      </c>
      <c r="I661" s="4" t="s">
        <v>1660</v>
      </c>
      <c r="J661" s="4" t="s">
        <v>183</v>
      </c>
      <c r="K661" s="4" t="s">
        <v>183</v>
      </c>
      <c r="L661" s="4" t="s">
        <v>183</v>
      </c>
    </row>
    <row r="662" spans="8:12">
      <c r="H662" s="3" t="s">
        <v>1661</v>
      </c>
      <c r="I662" s="4" t="s">
        <v>1662</v>
      </c>
      <c r="J662" s="4" t="s">
        <v>183</v>
      </c>
      <c r="K662" s="4" t="s">
        <v>183</v>
      </c>
      <c r="L662" s="4" t="s">
        <v>183</v>
      </c>
    </row>
    <row r="663" spans="8:12">
      <c r="H663" s="3" t="s">
        <v>1663</v>
      </c>
      <c r="I663" s="4" t="s">
        <v>1664</v>
      </c>
      <c r="J663" s="4" t="s">
        <v>183</v>
      </c>
      <c r="K663" s="4" t="s">
        <v>183</v>
      </c>
      <c r="L663" s="4" t="s">
        <v>183</v>
      </c>
    </row>
    <row r="664" spans="8:12">
      <c r="H664" s="3" t="s">
        <v>1665</v>
      </c>
      <c r="I664" s="4" t="s">
        <v>1666</v>
      </c>
      <c r="J664" s="4" t="s">
        <v>183</v>
      </c>
      <c r="K664" s="4" t="s">
        <v>183</v>
      </c>
      <c r="L664" s="4" t="s">
        <v>183</v>
      </c>
    </row>
    <row r="665" spans="8:12">
      <c r="H665" s="3" t="s">
        <v>1667</v>
      </c>
      <c r="I665" s="4" t="s">
        <v>1668</v>
      </c>
      <c r="J665" s="4" t="s">
        <v>183</v>
      </c>
      <c r="K665" s="4" t="s">
        <v>183</v>
      </c>
      <c r="L665" s="4" t="s">
        <v>183</v>
      </c>
    </row>
    <row r="666" spans="8:12">
      <c r="H666" s="3" t="s">
        <v>1669</v>
      </c>
      <c r="I666" s="4" t="s">
        <v>1670</v>
      </c>
      <c r="J666" s="4" t="s">
        <v>183</v>
      </c>
      <c r="K666" s="4" t="s">
        <v>183</v>
      </c>
      <c r="L666" s="4" t="s">
        <v>183</v>
      </c>
    </row>
    <row r="667" spans="8:12">
      <c r="H667" s="3" t="s">
        <v>1671</v>
      </c>
      <c r="I667" s="4" t="s">
        <v>1672</v>
      </c>
      <c r="J667" s="4" t="s">
        <v>183</v>
      </c>
      <c r="K667" s="4" t="s">
        <v>183</v>
      </c>
      <c r="L667" s="4" t="s">
        <v>183</v>
      </c>
    </row>
    <row r="668" spans="8:12">
      <c r="H668" s="3" t="s">
        <v>1673</v>
      </c>
      <c r="I668" s="4" t="s">
        <v>1674</v>
      </c>
      <c r="J668" s="4" t="s">
        <v>183</v>
      </c>
      <c r="K668" s="4" t="s">
        <v>183</v>
      </c>
      <c r="L668" s="4" t="s">
        <v>183</v>
      </c>
    </row>
    <row r="669" spans="8:12">
      <c r="H669" s="3" t="s">
        <v>1675</v>
      </c>
      <c r="I669" s="4" t="s">
        <v>1676</v>
      </c>
      <c r="J669" s="4" t="s">
        <v>183</v>
      </c>
      <c r="K669" s="4" t="s">
        <v>183</v>
      </c>
      <c r="L669" s="4" t="s">
        <v>183</v>
      </c>
    </row>
    <row r="670" spans="8:12">
      <c r="H670" s="3" t="s">
        <v>1677</v>
      </c>
      <c r="I670" s="4" t="s">
        <v>1678</v>
      </c>
      <c r="J670" s="4" t="s">
        <v>183</v>
      </c>
      <c r="K670" s="4" t="s">
        <v>183</v>
      </c>
      <c r="L670" s="4" t="s">
        <v>183</v>
      </c>
    </row>
    <row r="671" spans="8:12">
      <c r="H671" s="3" t="s">
        <v>1679</v>
      </c>
      <c r="I671" s="4" t="s">
        <v>1680</v>
      </c>
      <c r="J671" s="4" t="s">
        <v>183</v>
      </c>
      <c r="K671" s="4" t="s">
        <v>183</v>
      </c>
      <c r="L671" s="4" t="s">
        <v>183</v>
      </c>
    </row>
    <row r="672" spans="8:12">
      <c r="H672" s="3" t="s">
        <v>1681</v>
      </c>
      <c r="I672" s="4" t="s">
        <v>1682</v>
      </c>
      <c r="J672" s="4" t="s">
        <v>183</v>
      </c>
      <c r="K672" s="4" t="s">
        <v>183</v>
      </c>
      <c r="L672" s="4" t="s">
        <v>183</v>
      </c>
    </row>
    <row r="673" spans="8:12">
      <c r="H673" s="3" t="s">
        <v>1683</v>
      </c>
      <c r="I673" s="4" t="s">
        <v>1684</v>
      </c>
      <c r="J673" s="4" t="s">
        <v>183</v>
      </c>
      <c r="K673" s="4" t="s">
        <v>183</v>
      </c>
      <c r="L673" s="4" t="s">
        <v>183</v>
      </c>
    </row>
    <row r="674" spans="8:12">
      <c r="H674" s="3" t="s">
        <v>1685</v>
      </c>
      <c r="I674" s="4" t="s">
        <v>1686</v>
      </c>
      <c r="J674" s="4" t="s">
        <v>183</v>
      </c>
      <c r="K674" s="4" t="s">
        <v>183</v>
      </c>
      <c r="L674" s="4" t="s">
        <v>183</v>
      </c>
    </row>
    <row r="675" spans="8:12">
      <c r="H675" s="3" t="s">
        <v>1687</v>
      </c>
      <c r="I675" s="4" t="s">
        <v>1688</v>
      </c>
      <c r="J675" s="4" t="s">
        <v>183</v>
      </c>
      <c r="K675" s="4" t="s">
        <v>183</v>
      </c>
      <c r="L675" s="4" t="s">
        <v>183</v>
      </c>
    </row>
    <row r="676" spans="8:12">
      <c r="H676" s="3" t="s">
        <v>1689</v>
      </c>
      <c r="I676" s="4" t="s">
        <v>1690</v>
      </c>
      <c r="J676" s="4" t="s">
        <v>183</v>
      </c>
      <c r="K676" s="4" t="s">
        <v>183</v>
      </c>
      <c r="L676" s="4" t="s">
        <v>183</v>
      </c>
    </row>
    <row r="677" spans="8:12">
      <c r="H677" s="3" t="s">
        <v>1691</v>
      </c>
      <c r="I677" s="4" t="s">
        <v>1692</v>
      </c>
      <c r="J677" s="4" t="s">
        <v>183</v>
      </c>
      <c r="K677" s="4" t="s">
        <v>183</v>
      </c>
      <c r="L677" s="4" t="s">
        <v>183</v>
      </c>
    </row>
    <row r="678" spans="8:12">
      <c r="H678" s="3" t="s">
        <v>1693</v>
      </c>
      <c r="I678" s="4" t="s">
        <v>1694</v>
      </c>
      <c r="J678" s="4" t="s">
        <v>183</v>
      </c>
      <c r="K678" s="4" t="s">
        <v>183</v>
      </c>
      <c r="L678" s="4" t="s">
        <v>183</v>
      </c>
    </row>
    <row r="679" spans="8:12">
      <c r="H679" s="3" t="s">
        <v>1695</v>
      </c>
      <c r="I679" s="4" t="s">
        <v>1696</v>
      </c>
      <c r="J679" s="4" t="s">
        <v>183</v>
      </c>
      <c r="K679" s="4" t="s">
        <v>183</v>
      </c>
      <c r="L679" s="4" t="s">
        <v>183</v>
      </c>
    </row>
    <row r="680" spans="8:12">
      <c r="H680" s="3" t="s">
        <v>1697</v>
      </c>
      <c r="I680" s="4" t="s">
        <v>1698</v>
      </c>
      <c r="J680" s="4" t="s">
        <v>183</v>
      </c>
      <c r="K680" s="4" t="s">
        <v>183</v>
      </c>
      <c r="L680" s="4" t="s">
        <v>183</v>
      </c>
    </row>
    <row r="681" spans="8:12">
      <c r="H681" s="3" t="s">
        <v>1699</v>
      </c>
      <c r="I681" s="4" t="s">
        <v>1700</v>
      </c>
      <c r="J681" s="4" t="s">
        <v>183</v>
      </c>
      <c r="K681" s="4" t="s">
        <v>183</v>
      </c>
      <c r="L681" s="4" t="s">
        <v>183</v>
      </c>
    </row>
    <row r="682" spans="8:12">
      <c r="H682" s="3" t="s">
        <v>1701</v>
      </c>
      <c r="I682" s="4" t="s">
        <v>1702</v>
      </c>
      <c r="J682" s="4" t="s">
        <v>183</v>
      </c>
      <c r="K682" s="4" t="s">
        <v>183</v>
      </c>
      <c r="L682" s="4" t="s">
        <v>183</v>
      </c>
    </row>
    <row r="683" spans="8:12">
      <c r="H683" s="3" t="s">
        <v>1703</v>
      </c>
      <c r="I683" s="4" t="s">
        <v>1704</v>
      </c>
      <c r="J683" s="4" t="s">
        <v>183</v>
      </c>
      <c r="K683" s="4" t="s">
        <v>183</v>
      </c>
      <c r="L683" s="4" t="s">
        <v>183</v>
      </c>
    </row>
    <row r="684" spans="8:12">
      <c r="H684" s="3" t="s">
        <v>1705</v>
      </c>
      <c r="I684" s="4" t="s">
        <v>1706</v>
      </c>
      <c r="J684" s="4" t="s">
        <v>183</v>
      </c>
      <c r="K684" s="4" t="s">
        <v>183</v>
      </c>
      <c r="L684" s="4" t="s">
        <v>183</v>
      </c>
    </row>
    <row r="685" spans="8:12">
      <c r="H685" s="3" t="s">
        <v>1707</v>
      </c>
      <c r="I685" s="4" t="s">
        <v>1708</v>
      </c>
      <c r="J685" s="4" t="s">
        <v>183</v>
      </c>
      <c r="K685" s="4" t="s">
        <v>183</v>
      </c>
      <c r="L685" s="4" t="s">
        <v>183</v>
      </c>
    </row>
    <row r="686" spans="8:12">
      <c r="H686" s="3" t="s">
        <v>1709</v>
      </c>
      <c r="I686" s="4" t="s">
        <v>1710</v>
      </c>
      <c r="J686" s="4" t="s">
        <v>183</v>
      </c>
      <c r="K686" s="4" t="s">
        <v>183</v>
      </c>
      <c r="L686" s="4" t="s">
        <v>183</v>
      </c>
    </row>
    <row r="687" spans="8:12">
      <c r="H687" s="3" t="s">
        <v>1711</v>
      </c>
      <c r="I687" s="4" t="s">
        <v>1712</v>
      </c>
      <c r="J687" s="4" t="s">
        <v>183</v>
      </c>
      <c r="K687" s="4" t="s">
        <v>183</v>
      </c>
      <c r="L687" s="4" t="s">
        <v>183</v>
      </c>
    </row>
    <row r="688" spans="8:12">
      <c r="H688" s="3" t="s">
        <v>1713</v>
      </c>
      <c r="I688" s="4" t="s">
        <v>1714</v>
      </c>
      <c r="J688" s="4" t="s">
        <v>183</v>
      </c>
      <c r="K688" s="4" t="s">
        <v>183</v>
      </c>
      <c r="L688" s="4" t="s">
        <v>183</v>
      </c>
    </row>
    <row r="689" spans="8:12">
      <c r="H689" s="3" t="s">
        <v>1715</v>
      </c>
      <c r="I689" s="4" t="s">
        <v>1716</v>
      </c>
      <c r="J689" s="4" t="s">
        <v>183</v>
      </c>
      <c r="K689" s="4" t="s">
        <v>183</v>
      </c>
      <c r="L689" s="4" t="s">
        <v>183</v>
      </c>
    </row>
    <row r="690" spans="8:12">
      <c r="H690" s="3" t="s">
        <v>1717</v>
      </c>
      <c r="I690" s="4" t="s">
        <v>1718</v>
      </c>
      <c r="J690" s="4" t="s">
        <v>183</v>
      </c>
      <c r="K690" s="4" t="s">
        <v>183</v>
      </c>
      <c r="L690" s="4" t="s">
        <v>183</v>
      </c>
    </row>
    <row r="691" spans="8:12">
      <c r="H691" s="3" t="s">
        <v>1719</v>
      </c>
      <c r="I691" s="4" t="s">
        <v>1720</v>
      </c>
      <c r="J691" s="4" t="s">
        <v>183</v>
      </c>
      <c r="K691" s="4" t="s">
        <v>183</v>
      </c>
      <c r="L691" s="4" t="s">
        <v>183</v>
      </c>
    </row>
    <row r="692" spans="8:12">
      <c r="H692" s="3" t="s">
        <v>1721</v>
      </c>
      <c r="I692" s="4" t="s">
        <v>1722</v>
      </c>
      <c r="J692" s="4" t="s">
        <v>183</v>
      </c>
      <c r="K692" s="4" t="s">
        <v>183</v>
      </c>
      <c r="L692" s="4" t="s">
        <v>183</v>
      </c>
    </row>
    <row r="693" spans="8:12">
      <c r="H693" s="3" t="s">
        <v>1723</v>
      </c>
      <c r="I693" s="4" t="s">
        <v>1724</v>
      </c>
      <c r="J693" s="4" t="s">
        <v>183</v>
      </c>
      <c r="K693" s="4" t="s">
        <v>183</v>
      </c>
      <c r="L693" s="4" t="s">
        <v>183</v>
      </c>
    </row>
    <row r="694" spans="8:12">
      <c r="H694" s="3" t="s">
        <v>1725</v>
      </c>
      <c r="I694" s="4" t="s">
        <v>1726</v>
      </c>
      <c r="J694" s="4" t="s">
        <v>183</v>
      </c>
      <c r="K694" s="4" t="s">
        <v>183</v>
      </c>
      <c r="L694" s="4" t="s">
        <v>183</v>
      </c>
    </row>
    <row r="695" spans="8:12">
      <c r="H695" s="3" t="s">
        <v>1727</v>
      </c>
      <c r="I695" s="4" t="s">
        <v>1728</v>
      </c>
      <c r="J695" s="4" t="s">
        <v>183</v>
      </c>
      <c r="K695" s="4" t="s">
        <v>183</v>
      </c>
      <c r="L695" s="4" t="s">
        <v>183</v>
      </c>
    </row>
    <row r="696" spans="8:12">
      <c r="H696" s="3" t="s">
        <v>1729</v>
      </c>
      <c r="I696" s="4" t="s">
        <v>1730</v>
      </c>
      <c r="J696" s="4" t="s">
        <v>183</v>
      </c>
      <c r="K696" s="4" t="s">
        <v>183</v>
      </c>
      <c r="L696" s="4" t="s">
        <v>183</v>
      </c>
    </row>
    <row r="697" spans="8:12">
      <c r="H697" s="3" t="s">
        <v>1731</v>
      </c>
      <c r="I697" s="4" t="s">
        <v>1732</v>
      </c>
      <c r="J697" s="4" t="s">
        <v>183</v>
      </c>
      <c r="K697" s="4" t="s">
        <v>183</v>
      </c>
      <c r="L697" s="4" t="s">
        <v>183</v>
      </c>
    </row>
    <row r="698" spans="8:12">
      <c r="H698" s="3" t="s">
        <v>1733</v>
      </c>
      <c r="I698" s="4" t="s">
        <v>1734</v>
      </c>
      <c r="J698" s="4" t="s">
        <v>183</v>
      </c>
      <c r="K698" s="4" t="s">
        <v>183</v>
      </c>
      <c r="L698" s="4" t="s">
        <v>183</v>
      </c>
    </row>
    <row r="699" spans="8:12">
      <c r="H699" s="3" t="s">
        <v>1735</v>
      </c>
      <c r="I699" s="4" t="s">
        <v>1736</v>
      </c>
      <c r="J699" s="4" t="s">
        <v>183</v>
      </c>
      <c r="K699" s="4" t="s">
        <v>183</v>
      </c>
      <c r="L699" s="4" t="s">
        <v>183</v>
      </c>
    </row>
    <row r="700" spans="8:12">
      <c r="H700" s="3" t="s">
        <v>1737</v>
      </c>
      <c r="I700" s="4" t="s">
        <v>1738</v>
      </c>
      <c r="J700" s="4" t="s">
        <v>183</v>
      </c>
      <c r="K700" s="4" t="s">
        <v>183</v>
      </c>
      <c r="L700" s="4" t="s">
        <v>183</v>
      </c>
    </row>
    <row r="701" spans="8:12">
      <c r="H701" s="3" t="s">
        <v>1739</v>
      </c>
      <c r="I701" s="4" t="s">
        <v>1740</v>
      </c>
      <c r="J701" s="4" t="s">
        <v>183</v>
      </c>
      <c r="K701" s="4" t="s">
        <v>183</v>
      </c>
      <c r="L701" s="4" t="s">
        <v>183</v>
      </c>
    </row>
    <row r="702" spans="8:12">
      <c r="H702" s="3" t="s">
        <v>1741</v>
      </c>
      <c r="I702" s="4" t="s">
        <v>1742</v>
      </c>
      <c r="J702" s="4" t="s">
        <v>183</v>
      </c>
      <c r="K702" s="4" t="s">
        <v>183</v>
      </c>
      <c r="L702" s="4" t="s">
        <v>183</v>
      </c>
    </row>
    <row r="703" spans="8:12">
      <c r="H703" s="3" t="s">
        <v>1743</v>
      </c>
      <c r="I703" s="4" t="s">
        <v>1744</v>
      </c>
      <c r="J703" s="4" t="s">
        <v>183</v>
      </c>
      <c r="K703" s="4" t="s">
        <v>183</v>
      </c>
      <c r="L703" s="4" t="s">
        <v>183</v>
      </c>
    </row>
    <row r="704" spans="8:12">
      <c r="H704" s="3" t="s">
        <v>1745</v>
      </c>
      <c r="I704" s="4" t="s">
        <v>1746</v>
      </c>
      <c r="J704" s="4" t="s">
        <v>183</v>
      </c>
      <c r="K704" s="4" t="s">
        <v>183</v>
      </c>
      <c r="L704" s="4" t="s">
        <v>183</v>
      </c>
    </row>
    <row r="705" spans="8:12">
      <c r="H705" s="3" t="s">
        <v>1747</v>
      </c>
      <c r="I705" s="4" t="s">
        <v>1748</v>
      </c>
      <c r="J705" s="4" t="s">
        <v>183</v>
      </c>
      <c r="K705" s="4" t="s">
        <v>183</v>
      </c>
      <c r="L705" s="4" t="s">
        <v>183</v>
      </c>
    </row>
    <row r="706" spans="8:12">
      <c r="H706" s="3" t="s">
        <v>1749</v>
      </c>
      <c r="I706" s="4" t="s">
        <v>1750</v>
      </c>
      <c r="J706" s="4" t="s">
        <v>183</v>
      </c>
      <c r="K706" s="4" t="s">
        <v>183</v>
      </c>
      <c r="L706" s="4" t="s">
        <v>183</v>
      </c>
    </row>
    <row r="707" spans="8:12">
      <c r="H707" s="3" t="s">
        <v>1751</v>
      </c>
      <c r="I707" s="4" t="s">
        <v>1752</v>
      </c>
      <c r="J707" s="4" t="s">
        <v>183</v>
      </c>
      <c r="K707" s="4" t="s">
        <v>183</v>
      </c>
      <c r="L707" s="4" t="s">
        <v>183</v>
      </c>
    </row>
    <row r="708" spans="8:12">
      <c r="H708" s="3" t="s">
        <v>1753</v>
      </c>
      <c r="I708" s="4" t="s">
        <v>1754</v>
      </c>
      <c r="J708" s="4" t="s">
        <v>183</v>
      </c>
      <c r="K708" s="4" t="s">
        <v>183</v>
      </c>
      <c r="L708" s="4" t="s">
        <v>183</v>
      </c>
    </row>
    <row r="709" spans="8:12">
      <c r="H709" s="3" t="s">
        <v>1755</v>
      </c>
      <c r="I709" s="4" t="s">
        <v>1756</v>
      </c>
      <c r="J709" s="4" t="s">
        <v>183</v>
      </c>
      <c r="K709" s="4" t="s">
        <v>183</v>
      </c>
      <c r="L709" s="4" t="s">
        <v>183</v>
      </c>
    </row>
    <row r="710" spans="8:12">
      <c r="H710" s="3" t="s">
        <v>1757</v>
      </c>
      <c r="I710" s="4" t="s">
        <v>1758</v>
      </c>
      <c r="J710" s="4" t="s">
        <v>183</v>
      </c>
      <c r="K710" s="4" t="s">
        <v>183</v>
      </c>
      <c r="L710" s="4" t="s">
        <v>183</v>
      </c>
    </row>
    <row r="711" spans="8:12">
      <c r="H711" s="3" t="s">
        <v>1759</v>
      </c>
      <c r="I711" s="4" t="s">
        <v>1760</v>
      </c>
      <c r="J711" s="4" t="s">
        <v>183</v>
      </c>
      <c r="K711" s="4" t="s">
        <v>183</v>
      </c>
      <c r="L711" s="4" t="s">
        <v>183</v>
      </c>
    </row>
    <row r="712" spans="8:12">
      <c r="H712" s="3" t="s">
        <v>1761</v>
      </c>
      <c r="I712" s="4" t="s">
        <v>1762</v>
      </c>
      <c r="J712" s="4" t="s">
        <v>183</v>
      </c>
      <c r="K712" s="4" t="s">
        <v>183</v>
      </c>
      <c r="L712" s="4" t="s">
        <v>183</v>
      </c>
    </row>
    <row r="713" spans="8:12">
      <c r="H713" s="3" t="s">
        <v>1763</v>
      </c>
      <c r="I713" s="4" t="s">
        <v>1764</v>
      </c>
      <c r="J713" s="4" t="s">
        <v>183</v>
      </c>
      <c r="K713" s="4" t="s">
        <v>183</v>
      </c>
      <c r="L713" s="4" t="s">
        <v>183</v>
      </c>
    </row>
    <row r="714" spans="8:12">
      <c r="H714" s="3" t="s">
        <v>1765</v>
      </c>
      <c r="I714" s="4" t="s">
        <v>1766</v>
      </c>
      <c r="J714" s="4" t="s">
        <v>183</v>
      </c>
      <c r="K714" s="4" t="s">
        <v>183</v>
      </c>
      <c r="L714" s="4" t="s">
        <v>183</v>
      </c>
    </row>
    <row r="715" spans="8:12">
      <c r="H715" s="3" t="s">
        <v>1767</v>
      </c>
      <c r="I715" s="4" t="s">
        <v>1768</v>
      </c>
      <c r="J715" s="4" t="s">
        <v>183</v>
      </c>
      <c r="K715" s="4" t="s">
        <v>183</v>
      </c>
      <c r="L715" s="4" t="s">
        <v>183</v>
      </c>
    </row>
    <row r="716" spans="8:12">
      <c r="H716" s="3" t="s">
        <v>1769</v>
      </c>
      <c r="I716" s="4" t="s">
        <v>1770</v>
      </c>
      <c r="J716" s="4" t="s">
        <v>183</v>
      </c>
      <c r="K716" s="4" t="s">
        <v>183</v>
      </c>
      <c r="L716" s="4" t="s">
        <v>183</v>
      </c>
    </row>
    <row r="717" spans="8:12">
      <c r="H717" s="3" t="s">
        <v>1771</v>
      </c>
      <c r="I717" s="4" t="s">
        <v>1772</v>
      </c>
      <c r="J717" s="4" t="s">
        <v>183</v>
      </c>
      <c r="K717" s="4" t="s">
        <v>183</v>
      </c>
      <c r="L717" s="4" t="s">
        <v>183</v>
      </c>
    </row>
    <row r="718" spans="8:12">
      <c r="H718" s="3" t="s">
        <v>1773</v>
      </c>
      <c r="I718" s="4" t="s">
        <v>1774</v>
      </c>
      <c r="J718" s="4" t="s">
        <v>183</v>
      </c>
      <c r="K718" s="4" t="s">
        <v>183</v>
      </c>
      <c r="L718" s="4" t="s">
        <v>183</v>
      </c>
    </row>
    <row r="719" spans="8:12">
      <c r="H719" s="11" t="s">
        <v>1775</v>
      </c>
      <c r="I719" s="11" t="s">
        <v>1776</v>
      </c>
      <c r="J719" s="11" t="s">
        <v>42</v>
      </c>
      <c r="K719" s="11" t="s">
        <v>42</v>
      </c>
      <c r="L719" s="4" t="s">
        <v>42</v>
      </c>
    </row>
    <row r="720" spans="8:12">
      <c r="H720" t="s">
        <v>1777</v>
      </c>
      <c r="I720" t="s">
        <v>1778</v>
      </c>
      <c r="J720" t="s">
        <v>183</v>
      </c>
      <c r="K720" t="s">
        <v>183</v>
      </c>
      <c r="L720" t="s">
        <v>183</v>
      </c>
    </row>
    <row r="721" spans="8:12">
      <c r="H721" t="s">
        <v>1779</v>
      </c>
      <c r="I721" t="s">
        <v>1778</v>
      </c>
      <c r="J721" t="s">
        <v>183</v>
      </c>
      <c r="K721" t="s">
        <v>183</v>
      </c>
      <c r="L721" t="s">
        <v>183</v>
      </c>
    </row>
    <row r="722" spans="8:12">
      <c r="H722" t="s">
        <v>1780</v>
      </c>
      <c r="I722" t="s">
        <v>1778</v>
      </c>
      <c r="J722" t="s">
        <v>183</v>
      </c>
      <c r="K722" t="s">
        <v>183</v>
      </c>
      <c r="L722" t="s">
        <v>183</v>
      </c>
    </row>
    <row r="723" spans="8:12">
      <c r="H723" t="s">
        <v>1781</v>
      </c>
      <c r="I723" t="s">
        <v>1778</v>
      </c>
      <c r="J723" t="s">
        <v>183</v>
      </c>
      <c r="K723" t="s">
        <v>183</v>
      </c>
      <c r="L723" t="s">
        <v>183</v>
      </c>
    </row>
    <row r="724" spans="8:12">
      <c r="H724" t="s">
        <v>1782</v>
      </c>
      <c r="I724" t="s">
        <v>1778</v>
      </c>
      <c r="J724" t="s">
        <v>183</v>
      </c>
      <c r="K724" t="s">
        <v>183</v>
      </c>
      <c r="L724" t="s">
        <v>183</v>
      </c>
    </row>
    <row r="725" spans="8:12">
      <c r="H725" t="s">
        <v>1783</v>
      </c>
      <c r="I725" t="s">
        <v>1778</v>
      </c>
      <c r="J725" t="s">
        <v>183</v>
      </c>
      <c r="K725" t="s">
        <v>183</v>
      </c>
      <c r="L725" t="s">
        <v>183</v>
      </c>
    </row>
    <row r="726" spans="8:12">
      <c r="H726" t="s">
        <v>1784</v>
      </c>
      <c r="I726" t="s">
        <v>1778</v>
      </c>
      <c r="J726" t="s">
        <v>183</v>
      </c>
      <c r="K726" t="s">
        <v>183</v>
      </c>
      <c r="L726" t="s">
        <v>183</v>
      </c>
    </row>
    <row r="727" spans="8:12">
      <c r="H727" t="s">
        <v>1785</v>
      </c>
      <c r="I727" t="s">
        <v>1778</v>
      </c>
      <c r="J727" t="s">
        <v>183</v>
      </c>
      <c r="K727" t="s">
        <v>183</v>
      </c>
      <c r="L727" t="s">
        <v>183</v>
      </c>
    </row>
    <row r="728" spans="8:12">
      <c r="H728" t="s">
        <v>1786</v>
      </c>
      <c r="I728" t="s">
        <v>1778</v>
      </c>
      <c r="J728" t="s">
        <v>183</v>
      </c>
      <c r="K728" t="s">
        <v>183</v>
      </c>
      <c r="L728" t="s">
        <v>183</v>
      </c>
    </row>
    <row r="729" spans="8:12">
      <c r="H729" t="s">
        <v>1787</v>
      </c>
      <c r="I729" t="s">
        <v>1778</v>
      </c>
      <c r="J729" t="s">
        <v>183</v>
      </c>
      <c r="K729" t="s">
        <v>183</v>
      </c>
      <c r="L729" t="s">
        <v>183</v>
      </c>
    </row>
    <row r="730" spans="8:12">
      <c r="H730" t="s">
        <v>1788</v>
      </c>
      <c r="I730" t="s">
        <v>1778</v>
      </c>
      <c r="J730" t="s">
        <v>183</v>
      </c>
      <c r="K730" t="s">
        <v>183</v>
      </c>
      <c r="L730" t="s">
        <v>183</v>
      </c>
    </row>
    <row r="731" spans="8:12">
      <c r="H731" t="s">
        <v>1789</v>
      </c>
      <c r="I731" t="s">
        <v>1778</v>
      </c>
      <c r="J731" t="s">
        <v>183</v>
      </c>
      <c r="K731" t="s">
        <v>183</v>
      </c>
      <c r="L731" t="s">
        <v>183</v>
      </c>
    </row>
    <row r="732" spans="8:12">
      <c r="H732" t="s">
        <v>1790</v>
      </c>
      <c r="I732" t="s">
        <v>1778</v>
      </c>
      <c r="J732" t="s">
        <v>183</v>
      </c>
      <c r="K732" t="s">
        <v>183</v>
      </c>
      <c r="L732" t="s">
        <v>183</v>
      </c>
    </row>
    <row r="733" spans="8:12">
      <c r="H733" t="s">
        <v>1791</v>
      </c>
      <c r="I733" t="s">
        <v>1778</v>
      </c>
      <c r="J733" t="s">
        <v>183</v>
      </c>
      <c r="K733" t="s">
        <v>183</v>
      </c>
      <c r="L733" t="s">
        <v>183</v>
      </c>
    </row>
    <row r="734" spans="8:12">
      <c r="H734" t="s">
        <v>1792</v>
      </c>
      <c r="I734" t="s">
        <v>1778</v>
      </c>
      <c r="J734" t="s">
        <v>183</v>
      </c>
      <c r="K734" t="s">
        <v>183</v>
      </c>
      <c r="L734" t="s">
        <v>183</v>
      </c>
    </row>
    <row r="735" spans="8:12">
      <c r="H735" t="s">
        <v>1793</v>
      </c>
      <c r="I735" t="s">
        <v>1778</v>
      </c>
      <c r="J735" t="s">
        <v>183</v>
      </c>
      <c r="K735" t="s">
        <v>183</v>
      </c>
      <c r="L735" t="s">
        <v>183</v>
      </c>
    </row>
    <row r="736" spans="8:12">
      <c r="H736" t="s">
        <v>1794</v>
      </c>
      <c r="I736" t="s">
        <v>1778</v>
      </c>
      <c r="J736" t="s">
        <v>183</v>
      </c>
      <c r="K736" t="s">
        <v>183</v>
      </c>
      <c r="L736" t="s">
        <v>183</v>
      </c>
    </row>
    <row r="737" spans="8:12">
      <c r="H737" t="s">
        <v>1795</v>
      </c>
      <c r="I737" t="s">
        <v>1778</v>
      </c>
      <c r="J737" t="s">
        <v>183</v>
      </c>
      <c r="K737" t="s">
        <v>183</v>
      </c>
      <c r="L737" t="s">
        <v>183</v>
      </c>
    </row>
    <row r="738" spans="8:12">
      <c r="H738" t="s">
        <v>1796</v>
      </c>
      <c r="I738" t="s">
        <v>1778</v>
      </c>
      <c r="J738" t="s">
        <v>183</v>
      </c>
      <c r="K738" t="s">
        <v>183</v>
      </c>
      <c r="L738" t="s">
        <v>183</v>
      </c>
    </row>
    <row r="739" spans="8:12">
      <c r="H739" t="s">
        <v>1797</v>
      </c>
      <c r="I739" t="s">
        <v>1778</v>
      </c>
      <c r="J739" t="s">
        <v>183</v>
      </c>
      <c r="K739" t="s">
        <v>183</v>
      </c>
      <c r="L739" t="s">
        <v>183</v>
      </c>
    </row>
    <row r="740" spans="8:12">
      <c r="H740" t="s">
        <v>1798</v>
      </c>
      <c r="I740" t="s">
        <v>1778</v>
      </c>
      <c r="J740" t="s">
        <v>183</v>
      </c>
      <c r="K740" t="s">
        <v>183</v>
      </c>
      <c r="L740" t="s">
        <v>183</v>
      </c>
    </row>
    <row r="741" spans="8:12">
      <c r="H741" t="s">
        <v>1799</v>
      </c>
      <c r="I741" t="s">
        <v>1778</v>
      </c>
      <c r="J741" t="s">
        <v>183</v>
      </c>
      <c r="K741" t="s">
        <v>183</v>
      </c>
      <c r="L741" t="s">
        <v>183</v>
      </c>
    </row>
    <row r="742" spans="8:12">
      <c r="H742" t="s">
        <v>1800</v>
      </c>
      <c r="I742" t="s">
        <v>1778</v>
      </c>
      <c r="J742" t="s">
        <v>183</v>
      </c>
      <c r="K742" t="s">
        <v>183</v>
      </c>
      <c r="L742" t="s">
        <v>183</v>
      </c>
    </row>
    <row r="743" spans="8:12">
      <c r="H743" t="s">
        <v>1801</v>
      </c>
      <c r="I743" t="s">
        <v>1778</v>
      </c>
      <c r="J743" t="s">
        <v>183</v>
      </c>
      <c r="K743" t="s">
        <v>183</v>
      </c>
      <c r="L743" t="s">
        <v>183</v>
      </c>
    </row>
    <row r="744" spans="8:12">
      <c r="H744" t="s">
        <v>1802</v>
      </c>
      <c r="I744" t="s">
        <v>1778</v>
      </c>
      <c r="J744" t="s">
        <v>183</v>
      </c>
      <c r="K744" t="s">
        <v>183</v>
      </c>
      <c r="L744" t="s">
        <v>183</v>
      </c>
    </row>
    <row r="745" spans="8:12">
      <c r="H745" t="s">
        <v>1803</v>
      </c>
      <c r="I745" t="s">
        <v>1778</v>
      </c>
      <c r="J745" t="s">
        <v>183</v>
      </c>
      <c r="K745" t="s">
        <v>183</v>
      </c>
      <c r="L745" t="s">
        <v>183</v>
      </c>
    </row>
    <row r="746" spans="8:12">
      <c r="H746" t="s">
        <v>1804</v>
      </c>
      <c r="I746" t="s">
        <v>1778</v>
      </c>
      <c r="J746" t="s">
        <v>183</v>
      </c>
      <c r="K746" t="s">
        <v>183</v>
      </c>
      <c r="L746" t="s">
        <v>183</v>
      </c>
    </row>
    <row r="747" spans="8:12">
      <c r="H747" t="s">
        <v>1805</v>
      </c>
      <c r="I747" t="s">
        <v>1778</v>
      </c>
      <c r="J747" t="s">
        <v>183</v>
      </c>
      <c r="K747" t="s">
        <v>183</v>
      </c>
      <c r="L747" t="s">
        <v>183</v>
      </c>
    </row>
    <row r="748" spans="8:12">
      <c r="H748" t="s">
        <v>1806</v>
      </c>
      <c r="I748" t="s">
        <v>1778</v>
      </c>
      <c r="J748" t="s">
        <v>183</v>
      </c>
      <c r="K748" t="s">
        <v>183</v>
      </c>
      <c r="L748" t="s">
        <v>183</v>
      </c>
    </row>
    <row r="749" spans="8:12">
      <c r="H749" t="s">
        <v>1807</v>
      </c>
      <c r="I749" t="s">
        <v>1778</v>
      </c>
      <c r="J749" t="s">
        <v>183</v>
      </c>
      <c r="K749" t="s">
        <v>183</v>
      </c>
      <c r="L749" t="s">
        <v>183</v>
      </c>
    </row>
    <row r="750" spans="8:12">
      <c r="H750" t="s">
        <v>1808</v>
      </c>
      <c r="I750" t="s">
        <v>1778</v>
      </c>
      <c r="J750" t="s">
        <v>183</v>
      </c>
      <c r="K750" t="s">
        <v>183</v>
      </c>
      <c r="L750" t="s">
        <v>183</v>
      </c>
    </row>
    <row r="751" spans="8:12">
      <c r="H751" t="s">
        <v>1809</v>
      </c>
      <c r="I751" t="s">
        <v>1778</v>
      </c>
      <c r="J751" t="s">
        <v>183</v>
      </c>
      <c r="K751" t="s">
        <v>183</v>
      </c>
      <c r="L751" t="s">
        <v>183</v>
      </c>
    </row>
    <row r="752" spans="8:12">
      <c r="H752" t="s">
        <v>1810</v>
      </c>
      <c r="I752" t="s">
        <v>1778</v>
      </c>
      <c r="J752" t="s">
        <v>183</v>
      </c>
      <c r="K752" t="s">
        <v>183</v>
      </c>
      <c r="L752" t="s">
        <v>183</v>
      </c>
    </row>
    <row r="753" spans="4:12">
      <c r="H753" t="s">
        <v>1811</v>
      </c>
      <c r="I753" t="s">
        <v>1778</v>
      </c>
      <c r="J753" t="s">
        <v>183</v>
      </c>
      <c r="K753" t="s">
        <v>183</v>
      </c>
      <c r="L753" t="s">
        <v>183</v>
      </c>
    </row>
    <row r="754" spans="4:12">
      <c r="H754" t="s">
        <v>1812</v>
      </c>
      <c r="I754" t="s">
        <v>1778</v>
      </c>
      <c r="J754" t="s">
        <v>183</v>
      </c>
      <c r="K754" t="s">
        <v>183</v>
      </c>
      <c r="L754" t="s">
        <v>183</v>
      </c>
    </row>
    <row r="755" spans="4:12">
      <c r="H755" s="12" t="s">
        <v>1813</v>
      </c>
      <c r="I755" s="13" t="s">
        <v>1814</v>
      </c>
      <c r="J755" s="13" t="s">
        <v>1814</v>
      </c>
      <c r="K755" s="13" t="s">
        <v>1814</v>
      </c>
      <c r="L755" t="s">
        <v>42</v>
      </c>
    </row>
    <row r="756" spans="4:12">
      <c r="H756" s="42" t="s">
        <v>1815</v>
      </c>
      <c r="I756" s="13" t="s">
        <v>1814</v>
      </c>
      <c r="J756" s="13" t="s">
        <v>1814</v>
      </c>
      <c r="K756" s="13" t="s">
        <v>1814</v>
      </c>
      <c r="L756" t="s">
        <v>42</v>
      </c>
    </row>
    <row r="757" spans="4:12">
      <c r="H757" s="11" t="s">
        <v>1816</v>
      </c>
      <c r="I757" t="s">
        <v>1817</v>
      </c>
      <c r="J757" t="s">
        <v>1333</v>
      </c>
      <c r="K757" t="s">
        <v>1334</v>
      </c>
      <c r="L757" t="s">
        <v>42</v>
      </c>
    </row>
    <row r="758" spans="4:12">
      <c r="H758" s="62" t="s">
        <v>1818</v>
      </c>
      <c r="I758" t="s">
        <v>1819</v>
      </c>
      <c r="J758" t="s">
        <v>183</v>
      </c>
      <c r="K758" t="s">
        <v>183</v>
      </c>
      <c r="L758" t="s">
        <v>183</v>
      </c>
    </row>
    <row r="759" spans="4:12">
      <c r="D759" t="s">
        <v>1820</v>
      </c>
      <c r="H759" s="11" t="s">
        <v>1821</v>
      </c>
      <c r="I759" s="4" t="s">
        <v>1822</v>
      </c>
      <c r="J759" s="4" t="s">
        <v>183</v>
      </c>
      <c r="K759" s="4" t="s">
        <v>183</v>
      </c>
      <c r="L759" s="4" t="s">
        <v>183</v>
      </c>
    </row>
    <row r="760" spans="4:12">
      <c r="H760" s="11" t="s">
        <v>1823</v>
      </c>
      <c r="I760" t="s">
        <v>1824</v>
      </c>
      <c r="J760" s="4" t="s">
        <v>183</v>
      </c>
      <c r="K760" s="4" t="s">
        <v>183</v>
      </c>
      <c r="L760" s="4" t="s">
        <v>183</v>
      </c>
    </row>
  </sheetData>
  <autoFilter ref="H5:L780" xr:uid="{F61E745A-3F07-43D9-AF61-916C48CED090}"/>
  <mergeCells count="2">
    <mergeCell ref="AD3:AF3"/>
    <mergeCell ref="AG3:AI3"/>
  </mergeCells>
  <conditionalFormatting sqref="H6:H756">
    <cfRule type="duplicateValues" dxfId="3" priority="103"/>
  </conditionalFormatting>
  <conditionalFormatting sqref="O6:O68">
    <cfRule type="duplicateValues" dxfId="2" priority="1"/>
  </conditionalFormatting>
  <pageMargins left="0.7" right="0.7" top="0.75" bottom="0.75" header="0.3" footer="0.3"/>
  <pageSetup orientation="portrait" r:id="rId1"/>
  <headerFooter>
    <oddFooter>&amp;C_x000D_&amp;1#&amp;"Calibri"&amp;10&amp;K000000 OXXO | Uso Interno</oddFooter>
  </headerFooter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39EF-B2F6-4AA8-A354-FD9D065666C4}">
  <sheetPr codeName="Hoja2" filterMode="1"/>
  <dimension ref="A1:J44"/>
  <sheetViews>
    <sheetView zoomScale="70" zoomScaleNormal="70" workbookViewId="0">
      <selection activeCell="A52" sqref="A52"/>
    </sheetView>
  </sheetViews>
  <sheetFormatPr baseColWidth="10" defaultColWidth="11.42578125" defaultRowHeight="15"/>
  <cols>
    <col min="3" max="3" width="46.42578125" customWidth="1"/>
    <col min="4" max="4" width="13.7109375" customWidth="1"/>
    <col min="5" max="5" width="28.140625" bestFit="1" customWidth="1"/>
    <col min="6" max="6" width="16" bestFit="1" customWidth="1"/>
    <col min="7" max="7" width="21" customWidth="1"/>
    <col min="8" max="8" width="14.42578125" bestFit="1" customWidth="1"/>
    <col min="9" max="9" width="16.42578125" customWidth="1"/>
  </cols>
  <sheetData>
    <row r="1" spans="1:9">
      <c r="A1" t="s">
        <v>1830</v>
      </c>
    </row>
    <row r="3" spans="1:9" ht="15.75" thickBot="1"/>
    <row r="4" spans="1:9" ht="16.5" thickBot="1">
      <c r="C4" s="57" t="s">
        <v>1831</v>
      </c>
      <c r="D4" s="58" t="s">
        <v>1832</v>
      </c>
      <c r="E4" s="58" t="s">
        <v>1833</v>
      </c>
      <c r="F4" s="58" t="s">
        <v>1834</v>
      </c>
      <c r="G4" s="58" t="s">
        <v>1835</v>
      </c>
      <c r="H4" s="58" t="s">
        <v>1836</v>
      </c>
      <c r="I4" s="59" t="s">
        <v>1837</v>
      </c>
    </row>
    <row r="5" spans="1:9" hidden="1">
      <c r="C5" s="60" t="s">
        <v>1838</v>
      </c>
      <c r="D5" s="60" t="s">
        <v>1839</v>
      </c>
      <c r="E5" s="60" t="s">
        <v>1840</v>
      </c>
      <c r="F5" s="60" t="s">
        <v>44</v>
      </c>
      <c r="G5" s="60" t="s">
        <v>1841</v>
      </c>
      <c r="H5" s="60" t="b">
        <v>1</v>
      </c>
      <c r="I5" s="60">
        <v>1</v>
      </c>
    </row>
    <row r="6" spans="1:9" hidden="1">
      <c r="C6" s="4" t="s">
        <v>1842</v>
      </c>
      <c r="D6" s="4" t="s">
        <v>1843</v>
      </c>
      <c r="E6" s="4" t="s">
        <v>385</v>
      </c>
      <c r="F6" s="4" t="s">
        <v>44</v>
      </c>
      <c r="G6" s="4" t="s">
        <v>1841</v>
      </c>
      <c r="H6" s="4" t="b">
        <v>1</v>
      </c>
      <c r="I6" s="4">
        <v>0</v>
      </c>
    </row>
    <row r="7" spans="1:9" hidden="1">
      <c r="C7" s="4" t="s">
        <v>1844</v>
      </c>
      <c r="D7" s="4" t="s">
        <v>1845</v>
      </c>
      <c r="E7" s="4" t="s">
        <v>605</v>
      </c>
      <c r="F7" s="4" t="s">
        <v>44</v>
      </c>
      <c r="G7" s="4" t="s">
        <v>1841</v>
      </c>
      <c r="H7" s="4" t="b">
        <v>1</v>
      </c>
      <c r="I7" s="4">
        <v>0</v>
      </c>
    </row>
    <row r="8" spans="1:9" hidden="1">
      <c r="C8" s="4" t="s">
        <v>1846</v>
      </c>
      <c r="D8" s="4" t="s">
        <v>1847</v>
      </c>
      <c r="E8" s="4" t="s">
        <v>275</v>
      </c>
      <c r="F8" s="4" t="s">
        <v>44</v>
      </c>
      <c r="G8" s="4" t="s">
        <v>1841</v>
      </c>
      <c r="H8" s="4" t="b">
        <v>1</v>
      </c>
      <c r="I8" s="4">
        <v>0</v>
      </c>
    </row>
    <row r="9" spans="1:9" hidden="1">
      <c r="C9" s="4" t="s">
        <v>1848</v>
      </c>
      <c r="D9" s="4" t="s">
        <v>1849</v>
      </c>
      <c r="E9" s="4" t="s">
        <v>1850</v>
      </c>
      <c r="F9" s="4" t="s">
        <v>137</v>
      </c>
      <c r="G9" s="4" t="s">
        <v>1851</v>
      </c>
      <c r="H9" s="4" t="b">
        <v>1</v>
      </c>
      <c r="I9" s="4">
        <v>0</v>
      </c>
    </row>
    <row r="10" spans="1:9" hidden="1">
      <c r="C10" s="4" t="s">
        <v>1852</v>
      </c>
      <c r="D10" s="4" t="s">
        <v>1853</v>
      </c>
      <c r="E10" s="4" t="s">
        <v>264</v>
      </c>
      <c r="F10" s="4" t="s">
        <v>44</v>
      </c>
      <c r="G10" s="4" t="s">
        <v>1841</v>
      </c>
      <c r="H10" s="4" t="b">
        <v>1</v>
      </c>
      <c r="I10" s="4">
        <v>0</v>
      </c>
    </row>
    <row r="11" spans="1:9" hidden="1">
      <c r="C11" s="4" t="s">
        <v>1854</v>
      </c>
      <c r="D11" s="4" t="s">
        <v>1855</v>
      </c>
      <c r="E11" s="4" t="s">
        <v>664</v>
      </c>
      <c r="F11" s="4" t="s">
        <v>248</v>
      </c>
      <c r="G11" s="4" t="s">
        <v>1841</v>
      </c>
      <c r="H11" s="4" t="b">
        <v>1</v>
      </c>
      <c r="I11" s="4">
        <v>0</v>
      </c>
    </row>
    <row r="12" spans="1:9" hidden="1">
      <c r="C12" s="4" t="s">
        <v>1856</v>
      </c>
      <c r="D12" s="4" t="s">
        <v>1857</v>
      </c>
      <c r="E12" s="4" t="s">
        <v>1858</v>
      </c>
      <c r="F12" s="4" t="s">
        <v>44</v>
      </c>
      <c r="G12" s="4" t="s">
        <v>1841</v>
      </c>
      <c r="H12" s="4" t="b">
        <v>1</v>
      </c>
      <c r="I12" s="4">
        <v>0</v>
      </c>
    </row>
    <row r="13" spans="1:9" hidden="1">
      <c r="C13" s="4" t="s">
        <v>1859</v>
      </c>
      <c r="D13" s="4" t="s">
        <v>1860</v>
      </c>
      <c r="E13" s="4" t="s">
        <v>405</v>
      </c>
      <c r="F13" s="4" t="s">
        <v>44</v>
      </c>
      <c r="G13" s="4" t="s">
        <v>1841</v>
      </c>
      <c r="H13" s="4" t="b">
        <v>1</v>
      </c>
      <c r="I13" s="4">
        <v>0</v>
      </c>
    </row>
    <row r="14" spans="1:9" hidden="1">
      <c r="C14" s="4" t="s">
        <v>1861</v>
      </c>
      <c r="D14" s="4" t="s">
        <v>1862</v>
      </c>
      <c r="E14" s="4" t="s">
        <v>395</v>
      </c>
      <c r="F14" s="4" t="s">
        <v>44</v>
      </c>
      <c r="G14" s="4" t="s">
        <v>1841</v>
      </c>
      <c r="H14" s="4" t="b">
        <v>1</v>
      </c>
      <c r="I14" s="4">
        <v>0</v>
      </c>
    </row>
    <row r="15" spans="1:9" hidden="1">
      <c r="C15" s="4" t="s">
        <v>1863</v>
      </c>
      <c r="D15" s="4" t="s">
        <v>1864</v>
      </c>
      <c r="E15" s="4" t="s">
        <v>630</v>
      </c>
      <c r="F15" s="4" t="s">
        <v>44</v>
      </c>
      <c r="G15" s="4" t="s">
        <v>1841</v>
      </c>
      <c r="H15" s="4" t="b">
        <v>1</v>
      </c>
      <c r="I15" s="4">
        <v>0</v>
      </c>
    </row>
    <row r="16" spans="1:9" hidden="1">
      <c r="C16" s="4" t="s">
        <v>1865</v>
      </c>
      <c r="D16" s="4" t="s">
        <v>1866</v>
      </c>
      <c r="E16" s="4" t="s">
        <v>491</v>
      </c>
      <c r="F16" s="4" t="s">
        <v>44</v>
      </c>
      <c r="G16" s="4" t="s">
        <v>1841</v>
      </c>
      <c r="H16" s="4" t="b">
        <v>1</v>
      </c>
      <c r="I16" s="4">
        <v>0</v>
      </c>
    </row>
    <row r="17" spans="3:9" hidden="1">
      <c r="C17" s="4" t="s">
        <v>1867</v>
      </c>
      <c r="D17" s="4" t="s">
        <v>1868</v>
      </c>
      <c r="E17" s="4" t="s">
        <v>356</v>
      </c>
      <c r="F17" s="4" t="s">
        <v>44</v>
      </c>
      <c r="G17" s="4" t="s">
        <v>1841</v>
      </c>
      <c r="H17" s="4" t="b">
        <v>1</v>
      </c>
      <c r="I17" s="4">
        <v>0</v>
      </c>
    </row>
    <row r="18" spans="3:9" hidden="1">
      <c r="C18" s="4" t="s">
        <v>1869</v>
      </c>
      <c r="D18" s="4" t="s">
        <v>1870</v>
      </c>
      <c r="E18" s="4" t="s">
        <v>1871</v>
      </c>
      <c r="F18" s="4" t="s">
        <v>44</v>
      </c>
      <c r="G18" s="4" t="s">
        <v>1841</v>
      </c>
      <c r="H18" s="4" t="b">
        <v>1</v>
      </c>
      <c r="I18" s="4">
        <v>0</v>
      </c>
    </row>
    <row r="19" spans="3:9" hidden="1">
      <c r="C19" s="4" t="s">
        <v>1872</v>
      </c>
      <c r="D19" s="4" t="s">
        <v>1873</v>
      </c>
      <c r="E19" s="4" t="s">
        <v>1874</v>
      </c>
      <c r="F19" s="4" t="s">
        <v>44</v>
      </c>
      <c r="G19" s="4" t="s">
        <v>1841</v>
      </c>
      <c r="H19" s="4" t="b">
        <v>1</v>
      </c>
      <c r="I19" s="4">
        <v>1</v>
      </c>
    </row>
    <row r="20" spans="3:9" hidden="1">
      <c r="C20" s="4" t="s">
        <v>1875</v>
      </c>
      <c r="D20" s="4" t="s">
        <v>1876</v>
      </c>
      <c r="E20" s="4" t="s">
        <v>325</v>
      </c>
      <c r="F20" s="4" t="s">
        <v>44</v>
      </c>
      <c r="G20" s="4" t="s">
        <v>1841</v>
      </c>
      <c r="H20" s="4" t="b">
        <v>1</v>
      </c>
      <c r="I20" s="4">
        <v>0</v>
      </c>
    </row>
    <row r="21" spans="3:9" hidden="1">
      <c r="C21" s="4" t="s">
        <v>1877</v>
      </c>
      <c r="D21" s="4" t="s">
        <v>1878</v>
      </c>
      <c r="E21" s="4" t="s">
        <v>943</v>
      </c>
      <c r="F21" s="4" t="s">
        <v>58</v>
      </c>
      <c r="G21" s="4" t="s">
        <v>1841</v>
      </c>
      <c r="H21" s="4" t="b">
        <v>1</v>
      </c>
      <c r="I21" s="4">
        <v>0</v>
      </c>
    </row>
    <row r="22" spans="3:9" hidden="1">
      <c r="C22" s="4" t="s">
        <v>1879</v>
      </c>
      <c r="D22" s="4" t="s">
        <v>1880</v>
      </c>
      <c r="E22" s="4" t="s">
        <v>1881</v>
      </c>
      <c r="F22" s="4" t="s">
        <v>58</v>
      </c>
      <c r="G22" s="4" t="s">
        <v>1841</v>
      </c>
      <c r="H22" s="4" t="b">
        <v>1</v>
      </c>
      <c r="I22" s="4">
        <v>0</v>
      </c>
    </row>
    <row r="23" spans="3:9" hidden="1">
      <c r="C23" s="4" t="s">
        <v>1882</v>
      </c>
      <c r="D23" s="4" t="s">
        <v>1883</v>
      </c>
      <c r="E23" s="4" t="s">
        <v>903</v>
      </c>
      <c r="F23" s="4" t="s">
        <v>130</v>
      </c>
      <c r="G23" s="4" t="s">
        <v>1841</v>
      </c>
      <c r="H23" s="4" t="b">
        <v>1</v>
      </c>
      <c r="I23" s="4">
        <v>0</v>
      </c>
    </row>
    <row r="24" spans="3:9" hidden="1">
      <c r="C24" s="4" t="s">
        <v>1884</v>
      </c>
      <c r="D24" s="4" t="s">
        <v>1885</v>
      </c>
      <c r="E24" s="4" t="s">
        <v>1886</v>
      </c>
      <c r="F24" s="4" t="s">
        <v>44</v>
      </c>
      <c r="G24" s="4" t="s">
        <v>1841</v>
      </c>
      <c r="H24" s="4" t="b">
        <v>1</v>
      </c>
      <c r="I24" s="4">
        <v>1</v>
      </c>
    </row>
    <row r="25" spans="3:9" hidden="1">
      <c r="C25" s="4" t="s">
        <v>1887</v>
      </c>
      <c r="D25" s="4" t="s">
        <v>1888</v>
      </c>
      <c r="E25" s="4" t="s">
        <v>1889</v>
      </c>
      <c r="F25" s="4" t="s">
        <v>58</v>
      </c>
      <c r="G25" s="4" t="s">
        <v>1841</v>
      </c>
      <c r="H25" s="4" t="b">
        <v>1</v>
      </c>
      <c r="I25" s="4">
        <v>0.34</v>
      </c>
    </row>
    <row r="26" spans="3:9" hidden="1">
      <c r="C26" s="4" t="s">
        <v>1890</v>
      </c>
      <c r="D26" s="4" t="s">
        <v>1891</v>
      </c>
      <c r="E26" s="4" t="s">
        <v>253</v>
      </c>
      <c r="F26" s="4" t="s">
        <v>44</v>
      </c>
      <c r="G26" s="4" t="s">
        <v>1841</v>
      </c>
      <c r="H26" s="4" t="b">
        <v>1</v>
      </c>
      <c r="I26" s="4">
        <v>0</v>
      </c>
    </row>
    <row r="27" spans="3:9" hidden="1">
      <c r="C27" s="4" t="s">
        <v>1892</v>
      </c>
      <c r="D27" s="4" t="s">
        <v>1893</v>
      </c>
      <c r="E27" s="4" t="s">
        <v>1894</v>
      </c>
      <c r="F27" s="4" t="s">
        <v>44</v>
      </c>
      <c r="G27" s="4" t="s">
        <v>1841</v>
      </c>
      <c r="H27" s="4" t="b">
        <v>1</v>
      </c>
      <c r="I27" s="4">
        <v>0</v>
      </c>
    </row>
    <row r="28" spans="3:9" hidden="1">
      <c r="C28" s="4" t="s">
        <v>1895</v>
      </c>
      <c r="D28" s="4" t="s">
        <v>1896</v>
      </c>
      <c r="E28" s="4" t="s">
        <v>622</v>
      </c>
      <c r="F28" s="4" t="s">
        <v>44</v>
      </c>
      <c r="G28" s="4" t="s">
        <v>1841</v>
      </c>
      <c r="H28" s="4" t="b">
        <v>1</v>
      </c>
      <c r="I28" s="4">
        <v>0</v>
      </c>
    </row>
    <row r="29" spans="3:9" hidden="1">
      <c r="C29" s="4" t="s">
        <v>1897</v>
      </c>
      <c r="D29" s="4" t="s">
        <v>1898</v>
      </c>
      <c r="E29" s="4" t="s">
        <v>1899</v>
      </c>
      <c r="F29" s="4" t="s">
        <v>44</v>
      </c>
      <c r="G29" s="4" t="s">
        <v>1841</v>
      </c>
      <c r="H29" s="61" t="b">
        <v>1</v>
      </c>
      <c r="I29" s="4">
        <v>1</v>
      </c>
    </row>
    <row r="30" spans="3:9" hidden="1">
      <c r="C30" s="4" t="s">
        <v>1900</v>
      </c>
      <c r="D30" s="4" t="s">
        <v>1901</v>
      </c>
      <c r="E30" s="4" t="s">
        <v>611</v>
      </c>
      <c r="F30" s="4" t="s">
        <v>44</v>
      </c>
      <c r="G30" s="4" t="s">
        <v>1841</v>
      </c>
      <c r="H30" s="4" t="b">
        <v>1</v>
      </c>
      <c r="I30" s="4">
        <v>0</v>
      </c>
    </row>
    <row r="31" spans="3:9" hidden="1">
      <c r="C31" s="4" t="s">
        <v>1902</v>
      </c>
      <c r="D31" s="4" t="s">
        <v>1903</v>
      </c>
      <c r="E31" s="4" t="s">
        <v>458</v>
      </c>
      <c r="F31" s="4" t="s">
        <v>44</v>
      </c>
      <c r="G31" s="4" t="s">
        <v>1841</v>
      </c>
      <c r="H31" s="4" t="b">
        <v>1</v>
      </c>
      <c r="I31" s="4">
        <v>0</v>
      </c>
    </row>
    <row r="32" spans="3:9" hidden="1">
      <c r="C32" s="4" t="s">
        <v>1904</v>
      </c>
      <c r="D32" s="4" t="s">
        <v>1905</v>
      </c>
      <c r="E32" s="4" t="s">
        <v>816</v>
      </c>
      <c r="F32" s="4" t="s">
        <v>44</v>
      </c>
      <c r="G32" s="4" t="s">
        <v>1841</v>
      </c>
      <c r="H32" s="4" t="b">
        <v>1</v>
      </c>
      <c r="I32" s="4">
        <v>0</v>
      </c>
    </row>
    <row r="33" spans="3:10" hidden="1">
      <c r="C33" s="4" t="s">
        <v>1906</v>
      </c>
      <c r="D33" s="4" t="s">
        <v>1907</v>
      </c>
      <c r="E33" s="4" t="s">
        <v>626</v>
      </c>
      <c r="F33" s="4" t="s">
        <v>44</v>
      </c>
      <c r="G33" s="4" t="s">
        <v>1841</v>
      </c>
      <c r="H33" s="4" t="b">
        <v>1</v>
      </c>
      <c r="I33" s="4">
        <v>0</v>
      </c>
    </row>
    <row r="34" spans="3:10" hidden="1">
      <c r="C34" s="54" t="s">
        <v>1908</v>
      </c>
      <c r="D34" t="s">
        <v>1909</v>
      </c>
      <c r="I34" s="54">
        <v>0</v>
      </c>
    </row>
    <row r="35" spans="3:10" hidden="1">
      <c r="C35" s="4" t="s">
        <v>1910</v>
      </c>
      <c r="D35" s="4" t="s">
        <v>1911</v>
      </c>
      <c r="E35" s="4" t="s">
        <v>333</v>
      </c>
      <c r="F35" s="4" t="s">
        <v>44</v>
      </c>
      <c r="G35" s="4" t="s">
        <v>1841</v>
      </c>
      <c r="H35" s="4" t="s">
        <v>1912</v>
      </c>
      <c r="I35" s="4">
        <v>0</v>
      </c>
    </row>
    <row r="36" spans="3:10">
      <c r="C36" t="s">
        <v>1913</v>
      </c>
      <c r="D36" t="s">
        <v>1914</v>
      </c>
      <c r="E36" s="12" t="s">
        <v>1915</v>
      </c>
      <c r="F36" s="12" t="s">
        <v>161</v>
      </c>
      <c r="G36" t="s">
        <v>1851</v>
      </c>
      <c r="I36" s="54">
        <v>0</v>
      </c>
      <c r="J36" t="s">
        <v>1916</v>
      </c>
    </row>
    <row r="40" spans="3:10">
      <c r="D40">
        <v>30</v>
      </c>
      <c r="E40">
        <f>30/44</f>
        <v>0.68181818181818177</v>
      </c>
      <c r="F40">
        <v>2</v>
      </c>
      <c r="G40">
        <f>F40*E40</f>
        <v>1.3636363636363635</v>
      </c>
    </row>
    <row r="41" spans="3:10">
      <c r="D41">
        <v>25</v>
      </c>
      <c r="E41">
        <f>25/44</f>
        <v>0.56818181818181823</v>
      </c>
      <c r="F41">
        <v>1</v>
      </c>
      <c r="G41">
        <f t="shared" ref="G41:G43" si="0">F41*E41</f>
        <v>0.56818181818181823</v>
      </c>
    </row>
    <row r="42" spans="3:10">
      <c r="E42">
        <v>1</v>
      </c>
      <c r="F42">
        <v>1</v>
      </c>
      <c r="G42">
        <f t="shared" si="0"/>
        <v>1</v>
      </c>
      <c r="H42">
        <v>1</v>
      </c>
    </row>
    <row r="43" spans="3:10">
      <c r="E43">
        <v>1</v>
      </c>
      <c r="F43">
        <v>1</v>
      </c>
      <c r="G43">
        <f t="shared" si="0"/>
        <v>1</v>
      </c>
    </row>
    <row r="44" spans="3:10">
      <c r="G44">
        <f>SUM(G40:G43)</f>
        <v>3.9318181818181817</v>
      </c>
    </row>
  </sheetData>
  <autoFilter ref="C4:I36" xr:uid="{66B939EF-B2F6-4AA8-A354-FD9D065666C4}">
    <filterColumn colId="0">
      <filters>
        <filter val="BRAVO TORO CRISTIA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B682-D238-413A-AE6F-B5883800CF65}">
  <dimension ref="A1:I49"/>
  <sheetViews>
    <sheetView topLeftCell="A16" workbookViewId="0">
      <selection activeCell="A31" sqref="A31"/>
    </sheetView>
  </sheetViews>
  <sheetFormatPr baseColWidth="10" defaultColWidth="11.42578125" defaultRowHeight="15"/>
  <cols>
    <col min="1" max="1" width="26.140625" customWidth="1"/>
    <col min="2" max="2" width="40.85546875" customWidth="1"/>
    <col min="3" max="3" width="22.140625" customWidth="1"/>
    <col min="4" max="4" width="21" hidden="1" customWidth="1"/>
    <col min="5" max="5" width="0" hidden="1" customWidth="1"/>
  </cols>
  <sheetData>
    <row r="1" spans="1:9">
      <c r="A1" s="73" t="s">
        <v>26</v>
      </c>
      <c r="B1" s="73" t="s">
        <v>27</v>
      </c>
      <c r="C1" s="73" t="s">
        <v>28</v>
      </c>
      <c r="D1" s="73" t="s">
        <v>1917</v>
      </c>
      <c r="E1" s="73" t="s">
        <v>1918</v>
      </c>
      <c r="F1" s="73" t="s">
        <v>1919</v>
      </c>
      <c r="H1" s="83" t="s">
        <v>1919</v>
      </c>
      <c r="I1" s="84">
        <v>539000</v>
      </c>
    </row>
    <row r="2" spans="1:9">
      <c r="A2" s="66" t="s">
        <v>43</v>
      </c>
      <c r="B2" s="66" t="s">
        <v>44</v>
      </c>
      <c r="C2" s="66" t="s">
        <v>44</v>
      </c>
      <c r="D2" s="66" t="s">
        <v>34</v>
      </c>
      <c r="E2" s="74">
        <v>1</v>
      </c>
      <c r="F2" s="84">
        <v>539000</v>
      </c>
      <c r="I2" s="84">
        <f>I1/44</f>
        <v>12250</v>
      </c>
    </row>
    <row r="3" spans="1:9">
      <c r="A3" s="6" t="s">
        <v>44</v>
      </c>
      <c r="B3" s="6" t="s">
        <v>44</v>
      </c>
      <c r="C3" s="6" t="s">
        <v>44</v>
      </c>
      <c r="D3" s="6" t="s">
        <v>34</v>
      </c>
      <c r="E3" s="75">
        <v>1</v>
      </c>
      <c r="F3" s="84">
        <v>539000</v>
      </c>
      <c r="H3" t="s">
        <v>1920</v>
      </c>
      <c r="I3" s="85">
        <f>I2*15</f>
        <v>183750</v>
      </c>
    </row>
    <row r="4" spans="1:9">
      <c r="A4" s="66" t="s">
        <v>74</v>
      </c>
      <c r="B4" s="66" t="s">
        <v>44</v>
      </c>
      <c r="C4" s="66" t="s">
        <v>44</v>
      </c>
      <c r="D4" s="66" t="s">
        <v>34</v>
      </c>
      <c r="E4" s="74">
        <v>1</v>
      </c>
      <c r="F4" s="84">
        <v>539000</v>
      </c>
      <c r="H4" t="s">
        <v>1921</v>
      </c>
      <c r="I4" s="85">
        <f>I2*20</f>
        <v>245000</v>
      </c>
    </row>
    <row r="5" spans="1:9">
      <c r="A5" s="6" t="s">
        <v>82</v>
      </c>
      <c r="B5" s="6" t="s">
        <v>83</v>
      </c>
      <c r="C5" s="6" t="s">
        <v>44</v>
      </c>
      <c r="D5" s="6" t="s">
        <v>34</v>
      </c>
      <c r="E5" s="75">
        <v>1</v>
      </c>
      <c r="F5" s="84">
        <v>539000</v>
      </c>
      <c r="H5" t="s">
        <v>1922</v>
      </c>
      <c r="I5" s="85">
        <f>I2*25</f>
        <v>306250</v>
      </c>
    </row>
    <row r="6" spans="1:9">
      <c r="A6" s="66" t="s">
        <v>91</v>
      </c>
      <c r="B6" s="66" t="s">
        <v>44</v>
      </c>
      <c r="C6" s="66" t="s">
        <v>44</v>
      </c>
      <c r="D6" s="66" t="s">
        <v>34</v>
      </c>
      <c r="E6" s="74">
        <v>1</v>
      </c>
      <c r="F6" s="84">
        <v>539000</v>
      </c>
      <c r="H6" t="s">
        <v>1923</v>
      </c>
      <c r="I6" s="85">
        <f>I2*30</f>
        <v>367500</v>
      </c>
    </row>
    <row r="7" spans="1:9">
      <c r="A7" s="6" t="s">
        <v>97</v>
      </c>
      <c r="B7" s="6" t="s">
        <v>44</v>
      </c>
      <c r="C7" s="6" t="s">
        <v>44</v>
      </c>
      <c r="D7" s="6" t="s">
        <v>34</v>
      </c>
      <c r="E7" s="75">
        <v>1</v>
      </c>
      <c r="F7" s="84">
        <v>539000</v>
      </c>
    </row>
    <row r="8" spans="1:9">
      <c r="A8" s="66" t="s">
        <v>106</v>
      </c>
      <c r="B8" s="66" t="s">
        <v>44</v>
      </c>
      <c r="C8" s="66" t="s">
        <v>44</v>
      </c>
      <c r="D8" s="66" t="s">
        <v>34</v>
      </c>
      <c r="E8" s="74">
        <v>1</v>
      </c>
      <c r="F8" s="84">
        <v>539000</v>
      </c>
    </row>
    <row r="9" spans="1:9">
      <c r="A9" s="6" t="s">
        <v>112</v>
      </c>
      <c r="B9" s="6" t="s">
        <v>44</v>
      </c>
      <c r="C9" s="6" t="s">
        <v>44</v>
      </c>
      <c r="D9" s="6" t="s">
        <v>34</v>
      </c>
      <c r="E9" s="75">
        <v>1</v>
      </c>
      <c r="F9" s="84">
        <v>539000</v>
      </c>
    </row>
    <row r="10" spans="1:9">
      <c r="A10" s="66" t="s">
        <v>120</v>
      </c>
      <c r="B10" s="66" t="s">
        <v>120</v>
      </c>
      <c r="C10" s="66" t="s">
        <v>44</v>
      </c>
      <c r="D10" s="66" t="s">
        <v>34</v>
      </c>
      <c r="E10" s="74">
        <v>1</v>
      </c>
      <c r="F10" s="84">
        <v>539000</v>
      </c>
    </row>
    <row r="11" spans="1:9">
      <c r="A11" s="66" t="s">
        <v>238</v>
      </c>
      <c r="B11" s="66" t="s">
        <v>83</v>
      </c>
      <c r="C11" s="66" t="s">
        <v>44</v>
      </c>
      <c r="D11" s="66" t="s">
        <v>34</v>
      </c>
      <c r="E11" s="74">
        <v>1</v>
      </c>
      <c r="F11" s="84">
        <v>539000</v>
      </c>
    </row>
    <row r="12" spans="1:9">
      <c r="A12" s="4" t="s">
        <v>322</v>
      </c>
      <c r="B12" s="6" t="s">
        <v>44</v>
      </c>
      <c r="C12" s="6" t="s">
        <v>44</v>
      </c>
      <c r="D12" s="6" t="s">
        <v>34</v>
      </c>
      <c r="E12" s="75">
        <v>1</v>
      </c>
      <c r="F12" s="84">
        <v>539000</v>
      </c>
    </row>
    <row r="13" spans="1:9">
      <c r="A13" s="76" t="s">
        <v>83</v>
      </c>
      <c r="B13" s="66" t="s">
        <v>83</v>
      </c>
      <c r="C13" s="66" t="s">
        <v>44</v>
      </c>
      <c r="D13" s="66" t="s">
        <v>34</v>
      </c>
      <c r="E13" s="74">
        <v>1</v>
      </c>
      <c r="F13" s="84">
        <v>539000</v>
      </c>
    </row>
    <row r="14" spans="1:9">
      <c r="A14" s="4" t="s">
        <v>360</v>
      </c>
      <c r="B14" s="6" t="s">
        <v>44</v>
      </c>
      <c r="C14" s="6" t="s">
        <v>44</v>
      </c>
      <c r="D14" s="6" t="s">
        <v>34</v>
      </c>
      <c r="E14" s="75">
        <v>1</v>
      </c>
      <c r="F14" s="84">
        <v>539000</v>
      </c>
    </row>
    <row r="15" spans="1:9">
      <c r="A15" s="4" t="s">
        <v>243</v>
      </c>
      <c r="B15" s="6" t="s">
        <v>244</v>
      </c>
      <c r="C15" s="6" t="s">
        <v>244</v>
      </c>
      <c r="D15" s="6" t="s">
        <v>34</v>
      </c>
      <c r="E15" s="75">
        <v>0.34</v>
      </c>
      <c r="F15" s="85">
        <v>183750</v>
      </c>
    </row>
    <row r="16" spans="1:9">
      <c r="A16" s="4" t="s">
        <v>251</v>
      </c>
      <c r="B16" s="6" t="s">
        <v>244</v>
      </c>
      <c r="C16" s="6" t="s">
        <v>244</v>
      </c>
      <c r="D16" s="6" t="s">
        <v>34</v>
      </c>
      <c r="E16" s="75">
        <v>0.34</v>
      </c>
      <c r="F16" s="85">
        <v>183750</v>
      </c>
    </row>
    <row r="17" spans="1:6">
      <c r="A17" s="4" t="s">
        <v>244</v>
      </c>
      <c r="B17" s="66" t="s">
        <v>244</v>
      </c>
      <c r="C17" s="6" t="s">
        <v>244</v>
      </c>
      <c r="D17" s="6" t="s">
        <v>34</v>
      </c>
      <c r="E17" s="75">
        <v>0.34</v>
      </c>
      <c r="F17" s="85">
        <v>183750</v>
      </c>
    </row>
    <row r="18" spans="1:6">
      <c r="A18" s="49" t="s">
        <v>57</v>
      </c>
      <c r="B18" s="49" t="s">
        <v>58</v>
      </c>
      <c r="C18" s="49" t="s">
        <v>58</v>
      </c>
      <c r="D18" s="66" t="s">
        <v>34</v>
      </c>
      <c r="E18" s="74">
        <v>0.45</v>
      </c>
      <c r="F18" s="84">
        <v>245000</v>
      </c>
    </row>
    <row r="19" spans="1:6">
      <c r="A19" s="49" t="s">
        <v>67</v>
      </c>
      <c r="B19" s="49" t="s">
        <v>58</v>
      </c>
      <c r="C19" s="49" t="s">
        <v>58</v>
      </c>
      <c r="D19" s="6" t="s">
        <v>34</v>
      </c>
      <c r="E19" s="75">
        <v>0.45</v>
      </c>
      <c r="F19" s="84">
        <v>245000</v>
      </c>
    </row>
    <row r="20" spans="1:6">
      <c r="A20" s="66" t="s">
        <v>228</v>
      </c>
      <c r="B20" s="49" t="s">
        <v>58</v>
      </c>
      <c r="C20" s="49" t="s">
        <v>58</v>
      </c>
      <c r="D20" s="66" t="s">
        <v>34</v>
      </c>
      <c r="E20" s="74">
        <v>0.45</v>
      </c>
      <c r="F20" s="84">
        <v>245000</v>
      </c>
    </row>
    <row r="21" spans="1:6">
      <c r="A21" s="4" t="s">
        <v>58</v>
      </c>
      <c r="B21" s="49" t="s">
        <v>58</v>
      </c>
      <c r="C21" s="49" t="s">
        <v>58</v>
      </c>
      <c r="D21" s="6" t="s">
        <v>34</v>
      </c>
      <c r="E21" s="75">
        <v>0.45</v>
      </c>
      <c r="F21" s="84">
        <v>245000</v>
      </c>
    </row>
    <row r="22" spans="1:6">
      <c r="A22" s="76" t="s">
        <v>276</v>
      </c>
      <c r="B22" s="76" t="s">
        <v>58</v>
      </c>
      <c r="C22" s="49" t="s">
        <v>58</v>
      </c>
      <c r="D22" s="76" t="s">
        <v>34</v>
      </c>
      <c r="E22" s="74">
        <v>0.45</v>
      </c>
      <c r="F22" s="84">
        <v>245000</v>
      </c>
    </row>
    <row r="23" spans="1:6">
      <c r="A23" s="76" t="s">
        <v>247</v>
      </c>
      <c r="B23" s="66" t="s">
        <v>248</v>
      </c>
      <c r="C23" s="66" t="s">
        <v>248</v>
      </c>
      <c r="D23" s="66" t="s">
        <v>34</v>
      </c>
      <c r="E23" s="74">
        <v>0.56000000000000005</v>
      </c>
      <c r="F23" s="84">
        <v>306250</v>
      </c>
    </row>
    <row r="24" spans="1:6">
      <c r="A24" s="76" t="s">
        <v>254</v>
      </c>
      <c r="B24" s="66" t="s">
        <v>248</v>
      </c>
      <c r="C24" s="66" t="s">
        <v>248</v>
      </c>
      <c r="D24" s="66" t="s">
        <v>34</v>
      </c>
      <c r="E24" s="74">
        <v>0.56000000000000005</v>
      </c>
      <c r="F24" s="84">
        <v>306250</v>
      </c>
    </row>
    <row r="25" spans="1:6">
      <c r="A25" s="4" t="s">
        <v>267</v>
      </c>
      <c r="B25" s="6" t="s">
        <v>248</v>
      </c>
      <c r="C25" s="6" t="s">
        <v>248</v>
      </c>
      <c r="D25" s="4" t="s">
        <v>34</v>
      </c>
      <c r="E25" s="75">
        <v>0.56000000000000005</v>
      </c>
      <c r="F25" s="84">
        <v>306250</v>
      </c>
    </row>
    <row r="26" spans="1:6">
      <c r="A26" s="4" t="s">
        <v>288</v>
      </c>
      <c r="B26" s="4" t="s">
        <v>289</v>
      </c>
      <c r="C26" s="6" t="s">
        <v>248</v>
      </c>
      <c r="D26" s="6" t="s">
        <v>34</v>
      </c>
      <c r="E26" s="75">
        <v>0.56000000000000005</v>
      </c>
      <c r="F26" s="84">
        <v>306250</v>
      </c>
    </row>
    <row r="27" spans="1:6">
      <c r="A27" s="76" t="s">
        <v>295</v>
      </c>
      <c r="B27" s="76" t="s">
        <v>296</v>
      </c>
      <c r="C27" s="66" t="s">
        <v>248</v>
      </c>
      <c r="D27" s="66" t="s">
        <v>34</v>
      </c>
      <c r="E27" s="74">
        <v>0.56000000000000005</v>
      </c>
      <c r="F27" s="84">
        <v>306250</v>
      </c>
    </row>
    <row r="28" spans="1:6">
      <c r="A28" s="4" t="s">
        <v>301</v>
      </c>
      <c r="B28" s="4" t="s">
        <v>302</v>
      </c>
      <c r="C28" s="6" t="s">
        <v>248</v>
      </c>
      <c r="D28" s="6" t="s">
        <v>34</v>
      </c>
      <c r="E28" s="75">
        <v>0.56000000000000005</v>
      </c>
      <c r="F28" s="84">
        <v>306250</v>
      </c>
    </row>
    <row r="29" spans="1:6">
      <c r="A29" s="76" t="s">
        <v>308</v>
      </c>
      <c r="B29" s="76" t="s">
        <v>302</v>
      </c>
      <c r="C29" s="66" t="s">
        <v>248</v>
      </c>
      <c r="D29" s="66" t="s">
        <v>34</v>
      </c>
      <c r="E29" s="74">
        <v>0.56000000000000005</v>
      </c>
      <c r="F29" s="84">
        <v>306250</v>
      </c>
    </row>
    <row r="30" spans="1:6">
      <c r="A30" s="82" t="s">
        <v>248</v>
      </c>
      <c r="B30" s="4" t="s">
        <v>302</v>
      </c>
      <c r="C30" s="6" t="s">
        <v>248</v>
      </c>
      <c r="D30" s="6" t="s">
        <v>34</v>
      </c>
      <c r="E30" s="75">
        <v>0.56000000000000005</v>
      </c>
      <c r="F30" s="84">
        <v>306250</v>
      </c>
    </row>
    <row r="31" spans="1:6">
      <c r="A31" s="76" t="s">
        <v>361</v>
      </c>
      <c r="B31" s="76" t="s">
        <v>302</v>
      </c>
      <c r="C31" s="66" t="s">
        <v>248</v>
      </c>
      <c r="D31" s="66" t="s">
        <v>34</v>
      </c>
      <c r="E31" s="76">
        <v>0.56000000000000005</v>
      </c>
      <c r="F31" s="84">
        <v>306250</v>
      </c>
    </row>
    <row r="32" spans="1:6">
      <c r="A32" s="34" t="s">
        <v>128</v>
      </c>
      <c r="B32" s="34" t="s">
        <v>129</v>
      </c>
      <c r="C32" s="6" t="s">
        <v>130</v>
      </c>
      <c r="D32" s="6" t="s">
        <v>34</v>
      </c>
      <c r="E32" s="75">
        <v>0.68</v>
      </c>
      <c r="F32" s="84">
        <v>367500</v>
      </c>
    </row>
    <row r="33" spans="1:6">
      <c r="A33" s="6" t="s">
        <v>223</v>
      </c>
      <c r="B33" s="6" t="s">
        <v>130</v>
      </c>
      <c r="C33" s="6" t="s">
        <v>130</v>
      </c>
      <c r="D33" s="6" t="s">
        <v>34</v>
      </c>
      <c r="E33" s="75">
        <v>0.68</v>
      </c>
      <c r="F33" s="84">
        <v>367500</v>
      </c>
    </row>
    <row r="34" spans="1:6">
      <c r="A34" s="6" t="s">
        <v>233</v>
      </c>
      <c r="B34" s="6" t="s">
        <v>130</v>
      </c>
      <c r="C34" s="6" t="s">
        <v>130</v>
      </c>
      <c r="D34" s="6" t="s">
        <v>34</v>
      </c>
      <c r="E34" s="75">
        <v>0.68</v>
      </c>
      <c r="F34" s="84">
        <v>367500</v>
      </c>
    </row>
    <row r="35" spans="1:6">
      <c r="A35" s="4" t="s">
        <v>257</v>
      </c>
      <c r="B35" s="6" t="s">
        <v>130</v>
      </c>
      <c r="C35" s="6" t="s">
        <v>130</v>
      </c>
      <c r="D35" s="6" t="s">
        <v>34</v>
      </c>
      <c r="E35" s="75">
        <v>0.68</v>
      </c>
      <c r="F35" s="84">
        <v>367500</v>
      </c>
    </row>
    <row r="36" spans="1:6">
      <c r="A36" s="76" t="s">
        <v>260</v>
      </c>
      <c r="B36" s="76" t="s">
        <v>130</v>
      </c>
      <c r="C36" s="66" t="s">
        <v>130</v>
      </c>
      <c r="D36" s="76" t="s">
        <v>34</v>
      </c>
      <c r="E36" s="74">
        <v>0.68</v>
      </c>
      <c r="F36" s="84">
        <v>367500</v>
      </c>
    </row>
    <row r="37" spans="1:6">
      <c r="A37" s="77" t="s">
        <v>130</v>
      </c>
      <c r="B37" s="66" t="s">
        <v>130</v>
      </c>
      <c r="C37" s="66" t="s">
        <v>130</v>
      </c>
      <c r="D37" s="66" t="s">
        <v>34</v>
      </c>
      <c r="E37" s="74">
        <v>0.68</v>
      </c>
      <c r="F37" s="84">
        <v>367500</v>
      </c>
    </row>
    <row r="38" spans="1:6">
      <c r="A38" s="77" t="s">
        <v>270</v>
      </c>
      <c r="B38" s="76" t="s">
        <v>130</v>
      </c>
      <c r="C38" s="66" t="s">
        <v>130</v>
      </c>
      <c r="D38" s="76" t="s">
        <v>34</v>
      </c>
      <c r="E38" s="74">
        <v>0.68</v>
      </c>
      <c r="F38" s="84">
        <v>367500</v>
      </c>
    </row>
    <row r="39" spans="1:6">
      <c r="A39" s="4" t="s">
        <v>273</v>
      </c>
      <c r="B39" s="4" t="s">
        <v>130</v>
      </c>
      <c r="C39" s="6" t="s">
        <v>130</v>
      </c>
      <c r="D39" s="4" t="s">
        <v>34</v>
      </c>
      <c r="E39" s="75">
        <v>0.68</v>
      </c>
      <c r="F39" s="84">
        <v>367500</v>
      </c>
    </row>
    <row r="40" spans="1:6">
      <c r="A40" s="76" t="s">
        <v>281</v>
      </c>
      <c r="B40" s="66" t="s">
        <v>130</v>
      </c>
      <c r="C40" s="66" t="s">
        <v>130</v>
      </c>
      <c r="D40" s="66" t="s">
        <v>34</v>
      </c>
      <c r="E40" s="74">
        <v>0.68</v>
      </c>
      <c r="F40" s="84">
        <v>367500</v>
      </c>
    </row>
    <row r="41" spans="1:6">
      <c r="A41" s="4" t="s">
        <v>313</v>
      </c>
      <c r="B41" s="6" t="s">
        <v>314</v>
      </c>
      <c r="C41" s="6" t="s">
        <v>130</v>
      </c>
      <c r="D41" s="6" t="s">
        <v>34</v>
      </c>
      <c r="E41" s="75">
        <v>0.68</v>
      </c>
      <c r="F41" s="84">
        <v>367500</v>
      </c>
    </row>
    <row r="42" spans="1:6">
      <c r="A42" s="76" t="s">
        <v>318</v>
      </c>
      <c r="B42" s="66" t="s">
        <v>314</v>
      </c>
      <c r="C42" s="66" t="s">
        <v>130</v>
      </c>
      <c r="D42" s="66" t="s">
        <v>34</v>
      </c>
      <c r="E42" s="74">
        <v>0.68</v>
      </c>
      <c r="F42" s="84">
        <v>367500</v>
      </c>
    </row>
    <row r="43" spans="1:6">
      <c r="A43" s="79" t="s">
        <v>330</v>
      </c>
      <c r="B43" s="6" t="s">
        <v>314</v>
      </c>
      <c r="C43" s="6" t="s">
        <v>130</v>
      </c>
      <c r="D43" s="6" t="s">
        <v>34</v>
      </c>
      <c r="E43" s="75">
        <v>0.68</v>
      </c>
      <c r="F43" s="84">
        <v>367500</v>
      </c>
    </row>
    <row r="44" spans="1:6">
      <c r="A44" s="69" t="s">
        <v>334</v>
      </c>
      <c r="B44" s="66" t="s">
        <v>314</v>
      </c>
      <c r="C44" s="66" t="s">
        <v>130</v>
      </c>
      <c r="D44" s="66" t="s">
        <v>34</v>
      </c>
      <c r="E44" s="74">
        <v>0.68</v>
      </c>
      <c r="F44" s="84">
        <v>367500</v>
      </c>
    </row>
    <row r="45" spans="1:6">
      <c r="A45" s="4" t="s">
        <v>338</v>
      </c>
      <c r="B45" s="6" t="s">
        <v>314</v>
      </c>
      <c r="C45" s="6" t="s">
        <v>130</v>
      </c>
      <c r="D45" s="6" t="s">
        <v>34</v>
      </c>
      <c r="E45" s="75">
        <v>0.68</v>
      </c>
      <c r="F45" s="84">
        <v>367500</v>
      </c>
    </row>
    <row r="46" spans="1:6">
      <c r="A46" s="76" t="s">
        <v>344</v>
      </c>
      <c r="B46" s="66" t="s">
        <v>130</v>
      </c>
      <c r="C46" s="66" t="s">
        <v>130</v>
      </c>
      <c r="D46" s="66" t="s">
        <v>34</v>
      </c>
      <c r="E46" s="74">
        <v>0.68</v>
      </c>
      <c r="F46" s="84">
        <v>367500</v>
      </c>
    </row>
    <row r="47" spans="1:6">
      <c r="A47" s="81" t="s">
        <v>349</v>
      </c>
      <c r="B47" s="6" t="s">
        <v>314</v>
      </c>
      <c r="C47" s="6" t="s">
        <v>130</v>
      </c>
      <c r="D47" s="6" t="s">
        <v>34</v>
      </c>
      <c r="E47" s="75">
        <v>0.68</v>
      </c>
      <c r="F47" s="84">
        <v>367500</v>
      </c>
    </row>
    <row r="48" spans="1:6">
      <c r="A48" s="80" t="s">
        <v>338</v>
      </c>
      <c r="B48" s="78" t="s">
        <v>314</v>
      </c>
      <c r="C48" s="66" t="s">
        <v>130</v>
      </c>
      <c r="D48" s="66" t="s">
        <v>34</v>
      </c>
      <c r="E48" s="74">
        <v>0.68</v>
      </c>
      <c r="F48" s="84">
        <v>367500</v>
      </c>
    </row>
    <row r="49" spans="1:6">
      <c r="A49" s="80" t="s">
        <v>344</v>
      </c>
      <c r="B49" s="66" t="s">
        <v>130</v>
      </c>
      <c r="C49" s="66" t="s">
        <v>130</v>
      </c>
      <c r="D49" s="66" t="s">
        <v>34</v>
      </c>
      <c r="E49" s="74">
        <v>0.68</v>
      </c>
      <c r="F49" s="84">
        <v>367500</v>
      </c>
    </row>
  </sheetData>
  <autoFilter ref="A1:E49" xr:uid="{C112B682-D238-413A-AE6F-B5883800CF65}">
    <sortState xmlns:xlrd2="http://schemas.microsoft.com/office/spreadsheetml/2017/richdata2" ref="A2:E49">
      <sortCondition ref="C1:C49"/>
    </sortState>
  </autoFilter>
  <phoneticPr fontId="3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57AD-DDEF-4471-B595-560CD27D10F4}">
  <dimension ref="A1:E65"/>
  <sheetViews>
    <sheetView workbookViewId="0">
      <selection activeCell="A2" sqref="A2"/>
    </sheetView>
  </sheetViews>
  <sheetFormatPr baseColWidth="10" defaultColWidth="11.42578125" defaultRowHeight="15"/>
  <cols>
    <col min="1" max="1" width="41.5703125" style="101" customWidth="1"/>
    <col min="2" max="2" width="25.42578125" style="101" customWidth="1"/>
    <col min="3" max="3" width="25.42578125" customWidth="1"/>
    <col min="5" max="5" width="21.140625" customWidth="1"/>
  </cols>
  <sheetData>
    <row r="1" spans="1:5">
      <c r="A1" s="102" t="s">
        <v>26</v>
      </c>
      <c r="B1" s="102" t="s">
        <v>27</v>
      </c>
      <c r="C1" s="103" t="s">
        <v>28</v>
      </c>
    </row>
    <row r="2" spans="1:5">
      <c r="A2" s="88" t="s">
        <v>43</v>
      </c>
      <c r="B2" s="97" t="s">
        <v>44</v>
      </c>
      <c r="C2" s="6" t="s">
        <v>44</v>
      </c>
      <c r="E2" t="s">
        <v>44</v>
      </c>
    </row>
    <row r="3" spans="1:5">
      <c r="A3" s="88" t="s">
        <v>44</v>
      </c>
      <c r="B3" s="97" t="s">
        <v>44</v>
      </c>
      <c r="C3" s="6" t="s">
        <v>44</v>
      </c>
      <c r="E3" t="s">
        <v>83</v>
      </c>
    </row>
    <row r="4" spans="1:5">
      <c r="A4" s="88" t="s">
        <v>74</v>
      </c>
      <c r="B4" s="97" t="s">
        <v>44</v>
      </c>
      <c r="C4" s="6" t="s">
        <v>44</v>
      </c>
      <c r="E4" t="s">
        <v>244</v>
      </c>
    </row>
    <row r="5" spans="1:5">
      <c r="A5" s="88" t="s">
        <v>91</v>
      </c>
      <c r="B5" s="97" t="s">
        <v>44</v>
      </c>
      <c r="C5" s="6" t="s">
        <v>44</v>
      </c>
      <c r="E5" s="105" t="s">
        <v>1825</v>
      </c>
    </row>
    <row r="6" spans="1:5">
      <c r="A6" s="88" t="s">
        <v>97</v>
      </c>
      <c r="B6" s="97" t="s">
        <v>44</v>
      </c>
      <c r="C6" s="6" t="s">
        <v>44</v>
      </c>
      <c r="E6" t="s">
        <v>58</v>
      </c>
    </row>
    <row r="7" spans="1:5">
      <c r="A7" s="88" t="s">
        <v>106</v>
      </c>
      <c r="B7" s="97" t="s">
        <v>44</v>
      </c>
      <c r="C7" s="6" t="s">
        <v>44</v>
      </c>
      <c r="E7" s="105" t="s">
        <v>1826</v>
      </c>
    </row>
    <row r="8" spans="1:5">
      <c r="A8" s="88" t="s">
        <v>112</v>
      </c>
      <c r="B8" s="97" t="s">
        <v>44</v>
      </c>
      <c r="C8" s="6" t="s">
        <v>44</v>
      </c>
      <c r="E8" t="s">
        <v>248</v>
      </c>
    </row>
    <row r="9" spans="1:5">
      <c r="A9" s="88" t="s">
        <v>322</v>
      </c>
      <c r="B9" s="97" t="s">
        <v>44</v>
      </c>
      <c r="C9" s="6" t="s">
        <v>44</v>
      </c>
      <c r="E9" s="105" t="s">
        <v>1827</v>
      </c>
    </row>
    <row r="10" spans="1:5">
      <c r="A10" s="88" t="s">
        <v>360</v>
      </c>
      <c r="B10" s="97" t="s">
        <v>44</v>
      </c>
      <c r="C10" s="6" t="s">
        <v>44</v>
      </c>
      <c r="E10" t="s">
        <v>1828</v>
      </c>
    </row>
    <row r="11" spans="1:5">
      <c r="A11" s="88" t="s">
        <v>82</v>
      </c>
      <c r="B11" s="97" t="s">
        <v>83</v>
      </c>
      <c r="C11" s="6" t="s">
        <v>44</v>
      </c>
      <c r="E11" t="s">
        <v>314</v>
      </c>
    </row>
    <row r="12" spans="1:5">
      <c r="A12" s="88" t="s">
        <v>238</v>
      </c>
      <c r="B12" s="97" t="s">
        <v>83</v>
      </c>
      <c r="C12" s="6" t="s">
        <v>44</v>
      </c>
      <c r="E12" t="s">
        <v>1829</v>
      </c>
    </row>
    <row r="13" spans="1:5">
      <c r="A13" s="88" t="s">
        <v>83</v>
      </c>
      <c r="B13" s="97" t="s">
        <v>83</v>
      </c>
      <c r="C13" s="6" t="s">
        <v>44</v>
      </c>
      <c r="E13" t="s">
        <v>129</v>
      </c>
    </row>
    <row r="14" spans="1:5">
      <c r="A14" s="88" t="s">
        <v>243</v>
      </c>
      <c r="B14" s="97" t="s">
        <v>244</v>
      </c>
      <c r="C14" s="6" t="s">
        <v>244</v>
      </c>
      <c r="E14" t="s">
        <v>137</v>
      </c>
    </row>
    <row r="15" spans="1:5">
      <c r="A15" s="88" t="s">
        <v>251</v>
      </c>
      <c r="B15" s="97" t="s">
        <v>244</v>
      </c>
      <c r="C15" s="6" t="s">
        <v>244</v>
      </c>
      <c r="E15" t="s">
        <v>326</v>
      </c>
    </row>
    <row r="16" spans="1:5">
      <c r="A16" s="88" t="s">
        <v>244</v>
      </c>
      <c r="B16" s="97" t="s">
        <v>244</v>
      </c>
      <c r="C16" s="6" t="s">
        <v>244</v>
      </c>
      <c r="E16" t="s">
        <v>176</v>
      </c>
    </row>
    <row r="17" spans="1:3">
      <c r="A17" s="88" t="s">
        <v>57</v>
      </c>
      <c r="B17" s="97" t="s">
        <v>58</v>
      </c>
      <c r="C17" s="6" t="s">
        <v>58</v>
      </c>
    </row>
    <row r="18" spans="1:3">
      <c r="A18" s="88" t="s">
        <v>67</v>
      </c>
      <c r="B18" s="97" t="s">
        <v>58</v>
      </c>
      <c r="C18" s="6" t="s">
        <v>58</v>
      </c>
    </row>
    <row r="19" spans="1:3">
      <c r="A19" s="88" t="s">
        <v>228</v>
      </c>
      <c r="B19" s="97" t="s">
        <v>58</v>
      </c>
      <c r="C19" s="6" t="s">
        <v>58</v>
      </c>
    </row>
    <row r="20" spans="1:3">
      <c r="A20" s="88" t="s">
        <v>58</v>
      </c>
      <c r="B20" s="97" t="s">
        <v>58</v>
      </c>
      <c r="C20" s="6" t="s">
        <v>58</v>
      </c>
    </row>
    <row r="21" spans="1:3">
      <c r="A21" s="88" t="s">
        <v>276</v>
      </c>
      <c r="B21" s="97" t="s">
        <v>58</v>
      </c>
      <c r="C21" s="6" t="s">
        <v>58</v>
      </c>
    </row>
    <row r="22" spans="1:3">
      <c r="A22" s="88" t="s">
        <v>247</v>
      </c>
      <c r="B22" s="88" t="s">
        <v>248</v>
      </c>
      <c r="C22" s="98" t="s">
        <v>248</v>
      </c>
    </row>
    <row r="23" spans="1:3">
      <c r="A23" s="88" t="s">
        <v>254</v>
      </c>
      <c r="B23" s="88" t="s">
        <v>248</v>
      </c>
      <c r="C23" s="98" t="s">
        <v>248</v>
      </c>
    </row>
    <row r="24" spans="1:3">
      <c r="A24" s="88" t="s">
        <v>267</v>
      </c>
      <c r="B24" s="88" t="s">
        <v>248</v>
      </c>
      <c r="C24" s="98" t="s">
        <v>248</v>
      </c>
    </row>
    <row r="25" spans="1:3">
      <c r="A25" s="88" t="s">
        <v>288</v>
      </c>
      <c r="B25" s="88" t="s">
        <v>289</v>
      </c>
      <c r="C25" s="98" t="s">
        <v>248</v>
      </c>
    </row>
    <row r="26" spans="1:3">
      <c r="A26" s="88" t="s">
        <v>295</v>
      </c>
      <c r="B26" s="88" t="s">
        <v>296</v>
      </c>
      <c r="C26" s="98" t="s">
        <v>248</v>
      </c>
    </row>
    <row r="27" spans="1:3">
      <c r="A27" s="88" t="s">
        <v>301</v>
      </c>
      <c r="B27" s="88" t="s">
        <v>302</v>
      </c>
      <c r="C27" s="98" t="s">
        <v>248</v>
      </c>
    </row>
    <row r="28" spans="1:3">
      <c r="A28" s="88" t="s">
        <v>308</v>
      </c>
      <c r="B28" s="88" t="s">
        <v>302</v>
      </c>
      <c r="C28" s="98" t="s">
        <v>248</v>
      </c>
    </row>
    <row r="29" spans="1:3">
      <c r="A29" s="89" t="s">
        <v>248</v>
      </c>
      <c r="B29" s="88" t="s">
        <v>302</v>
      </c>
      <c r="C29" s="98" t="s">
        <v>248</v>
      </c>
    </row>
    <row r="30" spans="1:3">
      <c r="A30" s="88" t="s">
        <v>361</v>
      </c>
      <c r="B30" s="88" t="s">
        <v>302</v>
      </c>
      <c r="C30" s="98" t="s">
        <v>248</v>
      </c>
    </row>
    <row r="31" spans="1:3">
      <c r="A31" s="88" t="s">
        <v>223</v>
      </c>
      <c r="B31" s="97" t="s">
        <v>130</v>
      </c>
      <c r="C31" s="6" t="s">
        <v>130</v>
      </c>
    </row>
    <row r="32" spans="1:3">
      <c r="A32" s="88" t="s">
        <v>233</v>
      </c>
      <c r="B32" s="97" t="s">
        <v>130</v>
      </c>
      <c r="C32" s="6" t="s">
        <v>130</v>
      </c>
    </row>
    <row r="33" spans="1:3">
      <c r="A33" s="88" t="s">
        <v>257</v>
      </c>
      <c r="B33" s="97" t="s">
        <v>130</v>
      </c>
      <c r="C33" s="6" t="s">
        <v>130</v>
      </c>
    </row>
    <row r="34" spans="1:3">
      <c r="A34" s="88" t="s">
        <v>260</v>
      </c>
      <c r="B34" s="97" t="s">
        <v>130</v>
      </c>
      <c r="C34" s="6" t="s">
        <v>130</v>
      </c>
    </row>
    <row r="35" spans="1:3">
      <c r="A35" s="88" t="s">
        <v>130</v>
      </c>
      <c r="B35" s="97" t="s">
        <v>130</v>
      </c>
      <c r="C35" s="6" t="s">
        <v>130</v>
      </c>
    </row>
    <row r="36" spans="1:3">
      <c r="A36" s="88" t="s">
        <v>270</v>
      </c>
      <c r="B36" s="97" t="s">
        <v>130</v>
      </c>
      <c r="C36" s="6" t="s">
        <v>130</v>
      </c>
    </row>
    <row r="37" spans="1:3">
      <c r="A37" s="90" t="s">
        <v>273</v>
      </c>
      <c r="B37" s="97" t="s">
        <v>130</v>
      </c>
      <c r="C37" s="6" t="s">
        <v>130</v>
      </c>
    </row>
    <row r="38" spans="1:3">
      <c r="A38" s="90" t="s">
        <v>281</v>
      </c>
      <c r="B38" s="97" t="s">
        <v>130</v>
      </c>
      <c r="C38" s="6" t="s">
        <v>130</v>
      </c>
    </row>
    <row r="39" spans="1:3">
      <c r="A39" s="88" t="s">
        <v>344</v>
      </c>
      <c r="B39" s="97" t="s">
        <v>130</v>
      </c>
      <c r="C39" s="6" t="s">
        <v>130</v>
      </c>
    </row>
    <row r="40" spans="1:3">
      <c r="A40" s="88" t="s">
        <v>344</v>
      </c>
      <c r="B40" s="97" t="s">
        <v>130</v>
      </c>
      <c r="C40" s="6" t="s">
        <v>130</v>
      </c>
    </row>
    <row r="41" spans="1:3">
      <c r="A41" s="88" t="s">
        <v>313</v>
      </c>
      <c r="B41" s="97" t="s">
        <v>314</v>
      </c>
      <c r="C41" s="6" t="s">
        <v>130</v>
      </c>
    </row>
    <row r="42" spans="1:3">
      <c r="A42" s="88" t="s">
        <v>318</v>
      </c>
      <c r="B42" s="97" t="s">
        <v>314</v>
      </c>
      <c r="C42" s="6" t="s">
        <v>130</v>
      </c>
    </row>
    <row r="43" spans="1:3">
      <c r="A43" s="91" t="s">
        <v>330</v>
      </c>
      <c r="B43" s="97" t="s">
        <v>314</v>
      </c>
      <c r="C43" s="6" t="s">
        <v>130</v>
      </c>
    </row>
    <row r="44" spans="1:3">
      <c r="A44" s="92" t="s">
        <v>334</v>
      </c>
      <c r="B44" s="97" t="s">
        <v>314</v>
      </c>
      <c r="C44" s="6" t="s">
        <v>130</v>
      </c>
    </row>
    <row r="45" spans="1:3">
      <c r="A45" s="88" t="s">
        <v>338</v>
      </c>
      <c r="B45" s="97" t="s">
        <v>314</v>
      </c>
      <c r="C45" s="6" t="s">
        <v>130</v>
      </c>
    </row>
    <row r="46" spans="1:3">
      <c r="A46" s="88" t="s">
        <v>349</v>
      </c>
      <c r="B46" s="97" t="s">
        <v>314</v>
      </c>
      <c r="C46" s="6" t="s">
        <v>130</v>
      </c>
    </row>
    <row r="47" spans="1:3">
      <c r="A47" s="88" t="s">
        <v>338</v>
      </c>
      <c r="B47" s="97" t="s">
        <v>314</v>
      </c>
      <c r="C47" s="6" t="s">
        <v>130</v>
      </c>
    </row>
    <row r="48" spans="1:3">
      <c r="A48" s="93" t="s">
        <v>120</v>
      </c>
      <c r="B48" s="104" t="s">
        <v>120</v>
      </c>
      <c r="C48" s="6" t="s">
        <v>44</v>
      </c>
    </row>
    <row r="49" spans="1:3">
      <c r="A49" s="93" t="s">
        <v>128</v>
      </c>
      <c r="B49" s="97" t="s">
        <v>129</v>
      </c>
      <c r="C49" s="6" t="s">
        <v>130</v>
      </c>
    </row>
    <row r="50" spans="1:3">
      <c r="A50" s="93" t="s">
        <v>136</v>
      </c>
      <c r="B50" s="97" t="s">
        <v>137</v>
      </c>
      <c r="C50" s="6" t="s">
        <v>137</v>
      </c>
    </row>
    <row r="51" spans="1:3">
      <c r="A51" s="93" t="s">
        <v>146</v>
      </c>
      <c r="B51" s="97" t="s">
        <v>137</v>
      </c>
      <c r="C51" s="6" t="s">
        <v>137</v>
      </c>
    </row>
    <row r="52" spans="1:3">
      <c r="A52" s="93" t="s">
        <v>154</v>
      </c>
      <c r="B52" s="104" t="s">
        <v>137</v>
      </c>
      <c r="C52" s="6" t="s">
        <v>137</v>
      </c>
    </row>
    <row r="53" spans="1:3">
      <c r="A53" s="93" t="s">
        <v>161</v>
      </c>
      <c r="B53" s="97" t="s">
        <v>137</v>
      </c>
      <c r="C53" s="6" t="s">
        <v>137</v>
      </c>
    </row>
    <row r="54" spans="1:3">
      <c r="A54" s="93" t="s">
        <v>168</v>
      </c>
      <c r="B54" s="97" t="s">
        <v>137</v>
      </c>
      <c r="C54" s="6" t="s">
        <v>137</v>
      </c>
    </row>
    <row r="55" spans="1:3">
      <c r="A55" s="93" t="s">
        <v>137</v>
      </c>
      <c r="B55" s="97" t="s">
        <v>137</v>
      </c>
      <c r="C55" s="6" t="s">
        <v>137</v>
      </c>
    </row>
    <row r="56" spans="1:3">
      <c r="A56" s="94" t="s">
        <v>326</v>
      </c>
      <c r="B56" s="97" t="s">
        <v>326</v>
      </c>
      <c r="C56" s="6" t="s">
        <v>137</v>
      </c>
    </row>
    <row r="57" spans="1:3">
      <c r="A57" s="90" t="s">
        <v>175</v>
      </c>
      <c r="B57" s="97" t="s">
        <v>176</v>
      </c>
      <c r="C57" s="6" t="s">
        <v>176</v>
      </c>
    </row>
    <row r="58" spans="1:3">
      <c r="A58" s="90" t="s">
        <v>184</v>
      </c>
      <c r="B58" s="97" t="s">
        <v>176</v>
      </c>
      <c r="C58" s="6" t="s">
        <v>176</v>
      </c>
    </row>
    <row r="59" spans="1:3">
      <c r="A59" s="95" t="s">
        <v>190</v>
      </c>
      <c r="B59" s="97" t="s">
        <v>176</v>
      </c>
      <c r="C59" s="6" t="s">
        <v>176</v>
      </c>
    </row>
    <row r="60" spans="1:3">
      <c r="A60" s="90" t="s">
        <v>176</v>
      </c>
      <c r="B60" s="104" t="s">
        <v>176</v>
      </c>
      <c r="C60" s="96" t="s">
        <v>176</v>
      </c>
    </row>
    <row r="61" spans="1:3">
      <c r="A61" s="92" t="s">
        <v>203</v>
      </c>
      <c r="B61" s="97" t="s">
        <v>176</v>
      </c>
      <c r="C61" s="6" t="s">
        <v>176</v>
      </c>
    </row>
    <row r="62" spans="1:3">
      <c r="A62" s="92" t="s">
        <v>208</v>
      </c>
      <c r="B62" s="97" t="s">
        <v>176</v>
      </c>
      <c r="C62" s="6" t="s">
        <v>176</v>
      </c>
    </row>
    <row r="63" spans="1:3">
      <c r="A63" s="92" t="s">
        <v>213</v>
      </c>
      <c r="B63" s="97" t="s">
        <v>176</v>
      </c>
      <c r="C63" s="6" t="s">
        <v>176</v>
      </c>
    </row>
    <row r="64" spans="1:3" ht="15.75" thickBot="1">
      <c r="A64" s="92" t="s">
        <v>218</v>
      </c>
      <c r="B64" s="97" t="s">
        <v>176</v>
      </c>
      <c r="C64" s="6" t="s">
        <v>176</v>
      </c>
    </row>
    <row r="65" spans="1:3" ht="15.75" thickTop="1">
      <c r="A65" s="99"/>
      <c r="B65" s="91"/>
      <c r="C65" s="100"/>
    </row>
  </sheetData>
  <autoFilter ref="A1:C64" xr:uid="{1D8A57AD-DDEF-4471-B595-560CD27D10F4}">
    <sortState xmlns:xlrd2="http://schemas.microsoft.com/office/spreadsheetml/2017/richdata2" ref="A2:C64">
      <sortCondition ref="B1:B6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DFDF-2A05-45D5-96EA-8A5996CD72FB}">
  <dimension ref="A1:C69"/>
  <sheetViews>
    <sheetView zoomScaleNormal="100" workbookViewId="0">
      <selection activeCell="F7" sqref="F7"/>
    </sheetView>
  </sheetViews>
  <sheetFormatPr baseColWidth="10" defaultRowHeight="15"/>
  <cols>
    <col min="1" max="1" width="30.85546875" style="107" customWidth="1"/>
    <col min="2" max="2" width="25.42578125" style="107" customWidth="1"/>
    <col min="5" max="5" width="25.140625" customWidth="1"/>
  </cols>
  <sheetData>
    <row r="1" spans="1:3">
      <c r="A1" s="107" t="s">
        <v>26</v>
      </c>
      <c r="B1" s="107" t="s">
        <v>27</v>
      </c>
      <c r="C1" t="s">
        <v>1935</v>
      </c>
    </row>
    <row r="2" spans="1:3">
      <c r="A2" s="108" t="s">
        <v>238</v>
      </c>
      <c r="B2" s="107" t="s">
        <v>83</v>
      </c>
      <c r="C2">
        <v>44</v>
      </c>
    </row>
    <row r="3" spans="1:3">
      <c r="A3" s="108" t="s">
        <v>57</v>
      </c>
      <c r="B3" s="107" t="s">
        <v>58</v>
      </c>
      <c r="C3">
        <v>20</v>
      </c>
    </row>
    <row r="4" spans="1:3">
      <c r="A4" s="108" t="s">
        <v>1938</v>
      </c>
      <c r="B4" s="107" t="s">
        <v>244</v>
      </c>
      <c r="C4">
        <v>15</v>
      </c>
    </row>
    <row r="5" spans="1:3">
      <c r="A5" s="108" t="s">
        <v>276</v>
      </c>
      <c r="B5" s="107" t="s">
        <v>58</v>
      </c>
      <c r="C5">
        <v>20</v>
      </c>
    </row>
    <row r="6" spans="1:3">
      <c r="A6" s="108" t="s">
        <v>1937</v>
      </c>
      <c r="B6" s="107" t="s">
        <v>248</v>
      </c>
      <c r="C6">
        <v>25</v>
      </c>
    </row>
    <row r="7" spans="1:3">
      <c r="A7" s="109" t="s">
        <v>223</v>
      </c>
      <c r="B7" s="107" t="s">
        <v>130</v>
      </c>
      <c r="C7">
        <v>30</v>
      </c>
    </row>
    <row r="8" spans="1:3">
      <c r="A8" s="108" t="s">
        <v>313</v>
      </c>
      <c r="B8" s="107" t="s">
        <v>314</v>
      </c>
      <c r="C8">
        <v>30</v>
      </c>
    </row>
    <row r="9" spans="1:3">
      <c r="A9" s="107" t="s">
        <v>288</v>
      </c>
      <c r="B9" s="107" t="s">
        <v>289</v>
      </c>
      <c r="C9">
        <v>25</v>
      </c>
    </row>
    <row r="10" spans="1:3">
      <c r="A10" s="108" t="s">
        <v>295</v>
      </c>
      <c r="B10" s="107" t="s">
        <v>296</v>
      </c>
      <c r="C10">
        <v>25</v>
      </c>
    </row>
    <row r="11" spans="1:3">
      <c r="A11" s="108" t="s">
        <v>308</v>
      </c>
      <c r="B11" s="107" t="s">
        <v>302</v>
      </c>
      <c r="C11">
        <v>25</v>
      </c>
    </row>
    <row r="12" spans="1:3">
      <c r="A12" s="110" t="s">
        <v>74</v>
      </c>
      <c r="B12" s="107" t="s">
        <v>44</v>
      </c>
      <c r="C12">
        <v>44</v>
      </c>
    </row>
    <row r="13" spans="1:3">
      <c r="A13" s="108" t="s">
        <v>82</v>
      </c>
      <c r="B13" s="107" t="s">
        <v>83</v>
      </c>
      <c r="C13">
        <v>44</v>
      </c>
    </row>
    <row r="14" spans="1:3">
      <c r="A14" s="108" t="s">
        <v>243</v>
      </c>
      <c r="B14" s="107" t="s">
        <v>244</v>
      </c>
      <c r="C14">
        <v>15</v>
      </c>
    </row>
    <row r="15" spans="1:3">
      <c r="A15" s="108" t="s">
        <v>254</v>
      </c>
      <c r="B15" s="107" t="s">
        <v>248</v>
      </c>
      <c r="C15">
        <v>25</v>
      </c>
    </row>
    <row r="16" spans="1:3">
      <c r="A16" s="108" t="s">
        <v>1930</v>
      </c>
      <c r="B16" s="107" t="s">
        <v>130</v>
      </c>
      <c r="C16">
        <v>30</v>
      </c>
    </row>
    <row r="17" spans="1:3">
      <c r="A17" s="108" t="s">
        <v>338</v>
      </c>
      <c r="B17" s="107" t="s">
        <v>314</v>
      </c>
      <c r="C17">
        <v>30</v>
      </c>
    </row>
    <row r="18" spans="1:3">
      <c r="A18" s="108" t="s">
        <v>273</v>
      </c>
      <c r="B18" s="107" t="s">
        <v>130</v>
      </c>
      <c r="C18">
        <v>30</v>
      </c>
    </row>
    <row r="19" spans="1:3">
      <c r="A19" s="108" t="s">
        <v>344</v>
      </c>
      <c r="B19" s="107" t="s">
        <v>130</v>
      </c>
      <c r="C19">
        <v>30</v>
      </c>
    </row>
    <row r="20" spans="1:3">
      <c r="A20" s="108" t="s">
        <v>326</v>
      </c>
      <c r="B20" s="107" t="s">
        <v>326</v>
      </c>
      <c r="C20">
        <v>44</v>
      </c>
    </row>
    <row r="21" spans="1:3">
      <c r="A21" s="108" t="s">
        <v>161</v>
      </c>
      <c r="B21" s="107" t="s">
        <v>137</v>
      </c>
      <c r="C21">
        <v>44</v>
      </c>
    </row>
    <row r="22" spans="1:3">
      <c r="A22" s="108" t="s">
        <v>184</v>
      </c>
      <c r="B22" s="107" t="s">
        <v>176</v>
      </c>
      <c r="C22">
        <v>44</v>
      </c>
    </row>
    <row r="23" spans="1:3">
      <c r="A23" s="108" t="s">
        <v>208</v>
      </c>
      <c r="B23" s="107" t="s">
        <v>176</v>
      </c>
      <c r="C23">
        <v>44</v>
      </c>
    </row>
    <row r="24" spans="1:3">
      <c r="A24" s="111" t="s">
        <v>43</v>
      </c>
      <c r="B24" s="107" t="s">
        <v>44</v>
      </c>
      <c r="C24">
        <v>44</v>
      </c>
    </row>
    <row r="25" spans="1:3">
      <c r="A25" s="112" t="s">
        <v>44</v>
      </c>
      <c r="B25" s="107" t="s">
        <v>44</v>
      </c>
      <c r="C25">
        <v>44</v>
      </c>
    </row>
    <row r="26" spans="1:3">
      <c r="A26" s="112" t="s">
        <v>318</v>
      </c>
      <c r="B26" s="107" t="s">
        <v>314</v>
      </c>
      <c r="C26">
        <v>30</v>
      </c>
    </row>
    <row r="27" spans="1:3">
      <c r="A27" s="112" t="s">
        <v>330</v>
      </c>
      <c r="B27" s="107" t="s">
        <v>314</v>
      </c>
      <c r="C27">
        <v>30</v>
      </c>
    </row>
    <row r="28" spans="1:3">
      <c r="A28" s="112" t="s">
        <v>1928</v>
      </c>
      <c r="B28" s="107" t="s">
        <v>58</v>
      </c>
      <c r="C28">
        <v>20</v>
      </c>
    </row>
    <row r="29" spans="1:3">
      <c r="A29" s="112" t="s">
        <v>1931</v>
      </c>
      <c r="B29" s="107" t="s">
        <v>248</v>
      </c>
      <c r="C29">
        <v>25</v>
      </c>
    </row>
    <row r="30" spans="1:3">
      <c r="A30" s="112" t="s">
        <v>1926</v>
      </c>
      <c r="B30" s="107" t="s">
        <v>248</v>
      </c>
      <c r="C30">
        <v>25</v>
      </c>
    </row>
    <row r="31" spans="1:3">
      <c r="A31" s="112" t="s">
        <v>1925</v>
      </c>
      <c r="B31" s="107" t="s">
        <v>248</v>
      </c>
      <c r="C31">
        <v>25</v>
      </c>
    </row>
    <row r="32" spans="1:3">
      <c r="A32" s="112" t="s">
        <v>1927</v>
      </c>
      <c r="B32" s="107" t="s">
        <v>248</v>
      </c>
      <c r="C32">
        <v>25</v>
      </c>
    </row>
    <row r="33" spans="1:3">
      <c r="A33" s="112" t="s">
        <v>361</v>
      </c>
      <c r="B33" s="107" t="s">
        <v>302</v>
      </c>
      <c r="C33">
        <v>25</v>
      </c>
    </row>
    <row r="34" spans="1:3">
      <c r="A34" s="112" t="s">
        <v>301</v>
      </c>
      <c r="B34" s="107" t="s">
        <v>302</v>
      </c>
      <c r="C34">
        <v>25</v>
      </c>
    </row>
    <row r="35" spans="1:3">
      <c r="A35" s="112" t="s">
        <v>1924</v>
      </c>
      <c r="B35" s="107" t="s">
        <v>130</v>
      </c>
      <c r="C35">
        <v>30</v>
      </c>
    </row>
    <row r="36" spans="1:3">
      <c r="A36" s="112" t="s">
        <v>334</v>
      </c>
      <c r="B36" s="107" t="s">
        <v>314</v>
      </c>
      <c r="C36">
        <v>30</v>
      </c>
    </row>
    <row r="37" spans="1:3">
      <c r="A37" s="113" t="s">
        <v>270</v>
      </c>
      <c r="B37" s="107" t="s">
        <v>130</v>
      </c>
      <c r="C37">
        <v>30</v>
      </c>
    </row>
    <row r="38" spans="1:3">
      <c r="A38" s="112" t="s">
        <v>322</v>
      </c>
      <c r="B38" s="107" t="s">
        <v>44</v>
      </c>
      <c r="C38">
        <v>44</v>
      </c>
    </row>
    <row r="39" spans="1:3">
      <c r="A39" s="112" t="s">
        <v>1934</v>
      </c>
      <c r="B39" s="107" t="s">
        <v>83</v>
      </c>
      <c r="C39">
        <v>44</v>
      </c>
    </row>
    <row r="40" spans="1:3">
      <c r="A40" s="112" t="s">
        <v>91</v>
      </c>
      <c r="B40" s="107" t="s">
        <v>44</v>
      </c>
      <c r="C40">
        <v>44</v>
      </c>
    </row>
    <row r="41" spans="1:3">
      <c r="A41" s="112" t="s">
        <v>228</v>
      </c>
      <c r="B41" s="107" t="s">
        <v>58</v>
      </c>
      <c r="C41">
        <v>20</v>
      </c>
    </row>
    <row r="42" spans="1:3">
      <c r="A42" s="112" t="s">
        <v>97</v>
      </c>
      <c r="B42" s="107" t="s">
        <v>44</v>
      </c>
      <c r="C42">
        <v>44</v>
      </c>
    </row>
    <row r="43" spans="1:3">
      <c r="A43" s="112" t="s">
        <v>1932</v>
      </c>
      <c r="B43" s="107" t="s">
        <v>1936</v>
      </c>
      <c r="C43">
        <v>44</v>
      </c>
    </row>
    <row r="44" spans="1:3">
      <c r="A44" s="112" t="s">
        <v>360</v>
      </c>
      <c r="B44" s="107" t="s">
        <v>44</v>
      </c>
      <c r="C44">
        <v>44</v>
      </c>
    </row>
    <row r="45" spans="1:3">
      <c r="A45" s="112" t="s">
        <v>67</v>
      </c>
      <c r="B45" s="107" t="s">
        <v>58</v>
      </c>
      <c r="C45">
        <v>20</v>
      </c>
    </row>
    <row r="46" spans="1:3">
      <c r="A46" s="112" t="s">
        <v>58</v>
      </c>
      <c r="B46" s="107" t="s">
        <v>58</v>
      </c>
      <c r="C46">
        <v>20</v>
      </c>
    </row>
    <row r="47" spans="1:3">
      <c r="A47" s="112" t="s">
        <v>130</v>
      </c>
      <c r="B47" s="107" t="s">
        <v>130</v>
      </c>
      <c r="C47">
        <v>30</v>
      </c>
    </row>
    <row r="48" spans="1:3">
      <c r="A48" s="112" t="s">
        <v>257</v>
      </c>
      <c r="B48" s="107" t="s">
        <v>130</v>
      </c>
      <c r="C48">
        <v>30</v>
      </c>
    </row>
    <row r="49" spans="1:3">
      <c r="A49" s="112" t="s">
        <v>260</v>
      </c>
      <c r="B49" s="107" t="s">
        <v>130</v>
      </c>
      <c r="C49">
        <v>30</v>
      </c>
    </row>
    <row r="50" spans="1:3">
      <c r="A50" s="112" t="s">
        <v>106</v>
      </c>
      <c r="B50" s="107" t="s">
        <v>44</v>
      </c>
      <c r="C50">
        <v>44</v>
      </c>
    </row>
    <row r="51" spans="1:3">
      <c r="A51" s="112" t="s">
        <v>233</v>
      </c>
      <c r="B51" s="107" t="s">
        <v>130</v>
      </c>
      <c r="C51">
        <v>30</v>
      </c>
    </row>
    <row r="52" spans="1:3">
      <c r="A52" s="114" t="s">
        <v>1929</v>
      </c>
      <c r="B52" s="107" t="s">
        <v>130</v>
      </c>
      <c r="C52">
        <v>30</v>
      </c>
    </row>
    <row r="53" spans="1:3">
      <c r="A53" s="114" t="s">
        <v>120</v>
      </c>
      <c r="B53" s="107" t="s">
        <v>120</v>
      </c>
      <c r="C53">
        <v>44</v>
      </c>
    </row>
    <row r="54" spans="1:3">
      <c r="A54" s="112" t="s">
        <v>128</v>
      </c>
      <c r="B54" s="107" t="s">
        <v>129</v>
      </c>
      <c r="C54">
        <v>30</v>
      </c>
    </row>
    <row r="55" spans="1:3">
      <c r="A55" s="112" t="s">
        <v>136</v>
      </c>
      <c r="B55" s="107" t="s">
        <v>137</v>
      </c>
      <c r="C55">
        <v>44</v>
      </c>
    </row>
    <row r="56" spans="1:3">
      <c r="A56" s="112" t="s">
        <v>146</v>
      </c>
      <c r="B56" s="107" t="s">
        <v>137</v>
      </c>
      <c r="C56">
        <v>44</v>
      </c>
    </row>
    <row r="57" spans="1:3">
      <c r="A57" s="112" t="s">
        <v>154</v>
      </c>
      <c r="B57" s="107" t="s">
        <v>137</v>
      </c>
      <c r="C57">
        <v>44</v>
      </c>
    </row>
    <row r="58" spans="1:3">
      <c r="A58" s="112" t="s">
        <v>137</v>
      </c>
      <c r="B58" s="107" t="s">
        <v>137</v>
      </c>
      <c r="C58">
        <v>44</v>
      </c>
    </row>
    <row r="59" spans="1:3">
      <c r="A59" s="115" t="s">
        <v>175</v>
      </c>
      <c r="B59" s="107" t="s">
        <v>176</v>
      </c>
      <c r="C59">
        <v>44</v>
      </c>
    </row>
    <row r="60" spans="1:3">
      <c r="A60" s="112" t="s">
        <v>218</v>
      </c>
      <c r="B60" s="107" t="s">
        <v>176</v>
      </c>
      <c r="C60">
        <v>44</v>
      </c>
    </row>
    <row r="61" spans="1:3">
      <c r="A61" s="112" t="s">
        <v>1933</v>
      </c>
      <c r="B61" s="107" t="s">
        <v>326</v>
      </c>
      <c r="C61">
        <v>44</v>
      </c>
    </row>
    <row r="62" spans="1:3">
      <c r="A62" s="112" t="s">
        <v>168</v>
      </c>
      <c r="B62" s="107" t="s">
        <v>137</v>
      </c>
      <c r="C62">
        <v>44</v>
      </c>
    </row>
    <row r="63" spans="1:3">
      <c r="A63" s="116" t="s">
        <v>190</v>
      </c>
      <c r="B63" s="107" t="s">
        <v>176</v>
      </c>
      <c r="C63">
        <v>44</v>
      </c>
    </row>
    <row r="64" spans="1:3">
      <c r="A64" s="116" t="s">
        <v>176</v>
      </c>
      <c r="B64" s="107" t="s">
        <v>176</v>
      </c>
      <c r="C64">
        <v>44</v>
      </c>
    </row>
    <row r="65" spans="1:3">
      <c r="A65" s="116" t="s">
        <v>203</v>
      </c>
      <c r="B65" s="107" t="s">
        <v>176</v>
      </c>
      <c r="C65">
        <v>44</v>
      </c>
    </row>
    <row r="66" spans="1:3">
      <c r="A66" s="116" t="s">
        <v>213</v>
      </c>
      <c r="B66" s="107" t="s">
        <v>176</v>
      </c>
      <c r="C66">
        <v>44</v>
      </c>
    </row>
    <row r="67" spans="1:3">
      <c r="A67" s="116" t="s">
        <v>112</v>
      </c>
      <c r="B67" s="107" t="s">
        <v>44</v>
      </c>
      <c r="C67">
        <v>44</v>
      </c>
    </row>
    <row r="68" spans="1:3">
      <c r="A68" s="116" t="s">
        <v>267</v>
      </c>
      <c r="B68" s="107" t="s">
        <v>248</v>
      </c>
      <c r="C68">
        <v>25</v>
      </c>
    </row>
    <row r="69" spans="1:3">
      <c r="A69" s="116" t="s">
        <v>349</v>
      </c>
      <c r="B69" s="107" t="s">
        <v>314</v>
      </c>
      <c r="C69">
        <v>30</v>
      </c>
    </row>
  </sheetData>
  <conditionalFormatting sqref="A1:A1048576">
    <cfRule type="duplicateValues" dxfId="1" priority="2"/>
  </conditionalFormatting>
  <conditionalFormatting sqref="A2:A6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E7E7CE0F97E049952EEB62A8CE32E1" ma:contentTypeVersion="3" ma:contentTypeDescription="Crear nuevo documento." ma:contentTypeScope="" ma:versionID="3806ecbbbd873c43f5550217132e1ef2">
  <xsd:schema xmlns:xsd="http://www.w3.org/2001/XMLSchema" xmlns:xs="http://www.w3.org/2001/XMLSchema" xmlns:p="http://schemas.microsoft.com/office/2006/metadata/properties" xmlns:ns2="f5b376c5-d6ce-4ee3-95d9-2860a878001c" targetNamespace="http://schemas.microsoft.com/office/2006/metadata/properties" ma:root="true" ma:fieldsID="d68330a1c15813114dbc9751f3237693" ns2:_="">
    <xsd:import namespace="f5b376c5-d6ce-4ee3-95d9-2860a8780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376c5-d6ce-4ee3-95d9-2860a87800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52DC35-C926-4B34-A465-ABD0A7A88052}">
  <ds:schemaRefs>
    <ds:schemaRef ds:uri="http://purl.org/dc/dcmitype/"/>
    <ds:schemaRef ds:uri="http://purl.org/dc/elements/1.1/"/>
    <ds:schemaRef ds:uri="f5b376c5-d6ce-4ee3-95d9-2860a878001c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D5C3284-5373-4370-A7D1-E19549A656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b376c5-d6ce-4ee3-95d9-2860a87800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17D71E-583C-4997-B232-350EDE73CF5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AGRUPADOR</vt:lpstr>
      <vt:lpstr>INCLS</vt:lpstr>
      <vt:lpstr>Hoja1</vt:lpstr>
      <vt:lpstr>Hoja2</vt:lpstr>
      <vt:lpstr>HRS CONTRATO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Arriagada</dc:creator>
  <cp:keywords/>
  <dc:description/>
  <cp:lastModifiedBy>San Pedro Pino Maximiliano</cp:lastModifiedBy>
  <cp:revision/>
  <dcterms:created xsi:type="dcterms:W3CDTF">2024-07-09T12:48:56Z</dcterms:created>
  <dcterms:modified xsi:type="dcterms:W3CDTF">2026-04-16T20:19:05Z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0x010100BEE7E7CE0F97E049952EEB62A8CE32E1</vt:lpwstr>
  </property>
</Properties>
</file>